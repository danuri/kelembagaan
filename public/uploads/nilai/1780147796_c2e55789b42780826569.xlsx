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BAN-PT\PENDIRIAN PT\2026\IAI GHIBTA\"/>
    </mc:Choice>
  </mc:AlternateContent>
  <xr:revisionPtr revIDLastSave="0" documentId="13_ncr:1_{C1659A28-F34C-4AFE-82E0-8F06584F80A8}" xr6:coauthVersionLast="47" xr6:coauthVersionMax="47" xr10:uidLastSave="{00000000-0000-0000-0000-000000000000}"/>
  <bookViews>
    <workbookView xWindow="-98" yWindow="-98" windowWidth="21795" windowHeight="12975" tabRatio="689" activeTab="5" xr2:uid="{00000000-000D-0000-FFFF-FFFF00000000}"/>
  </bookViews>
  <sheets>
    <sheet name="Menu" sheetId="15" r:id="rId1"/>
    <sheet name="hitung_F1" sheetId="11" r:id="rId2"/>
    <sheet name="F1" sheetId="1" r:id="rId3"/>
    <sheet name="F3" sheetId="4" r:id="rId4"/>
    <sheet name="F4" sheetId="6" r:id="rId5"/>
    <sheet name="F6" sheetId="9" r:id="rId6"/>
    <sheet name="Nilai AK" sheetId="10" r:id="rId7"/>
    <sheet name="Nilai AL" sheetId="19" r:id="rId8"/>
  </sheets>
  <definedNames>
    <definedName name="diploma">#REF!</definedName>
    <definedName name="_xlnm.Print_Area" localSheetId="2">'F1'!$A$1:$E$71</definedName>
    <definedName name="_xlnm.Print_Area" localSheetId="4">'F4'!$A$1:$H$77</definedName>
    <definedName name="_xlnm.Print_Titles" localSheetId="2">'F1'!$10:$10</definedName>
    <definedName name="_xlnm.Print_Titles" localSheetId="3">'F3'!$6:$6</definedName>
    <definedName name="_xlnm.Print_Titles" localSheetId="4">'F4'!$11:$13</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8" i="1" l="1"/>
  <c r="E376" i="11" l="1"/>
  <c r="E81" i="11" l="1"/>
  <c r="E68" i="11"/>
  <c r="E89" i="11" l="1"/>
  <c r="F14" i="6"/>
  <c r="F7" i="6"/>
  <c r="D11" i="1"/>
  <c r="C7" i="4" s="1"/>
  <c r="C11" i="1"/>
  <c r="G14" i="6" l="1"/>
  <c r="G64" i="6"/>
  <c r="G73" i="19" l="1"/>
  <c r="D7" i="19"/>
  <c r="D5" i="19"/>
  <c r="D4" i="19"/>
  <c r="D3" i="19"/>
  <c r="G61" i="19"/>
  <c r="G62" i="19" s="1"/>
  <c r="G63" i="19" s="1"/>
  <c r="G70" i="19" s="1"/>
  <c r="G50" i="19"/>
  <c r="G51" i="19" s="1"/>
  <c r="G52" i="19" s="1"/>
  <c r="G53" i="19" s="1"/>
  <c r="G54" i="19" s="1"/>
  <c r="G55" i="19" s="1"/>
  <c r="G56" i="19" s="1"/>
  <c r="G47" i="19"/>
  <c r="G48" i="19" s="1"/>
  <c r="G41" i="19"/>
  <c r="G42" i="19" s="1"/>
  <c r="G43" i="19" s="1"/>
  <c r="G44" i="19" s="1"/>
  <c r="G45" i="19" s="1"/>
  <c r="G36" i="19"/>
  <c r="G37" i="19" s="1"/>
  <c r="G38" i="19" s="1"/>
  <c r="G39" i="19" s="1"/>
  <c r="G35" i="19"/>
  <c r="B13" i="19"/>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B43" i="19" s="1"/>
  <c r="B44" i="19" s="1"/>
  <c r="B45" i="19" s="1"/>
  <c r="B46" i="19" s="1"/>
  <c r="B47" i="19" s="1"/>
  <c r="B48" i="19" s="1"/>
  <c r="B49" i="19" s="1"/>
  <c r="B50" i="19" s="1"/>
  <c r="B51" i="19" s="1"/>
  <c r="B52" i="19" s="1"/>
  <c r="B53" i="19" s="1"/>
  <c r="B54" i="19" s="1"/>
  <c r="B55" i="19" s="1"/>
  <c r="B56" i="19" s="1"/>
  <c r="B57" i="19" s="1"/>
  <c r="B58" i="19" s="1"/>
  <c r="B59" i="19" s="1"/>
  <c r="B60" i="19" s="1"/>
  <c r="B61" i="19" s="1"/>
  <c r="B62" i="19" s="1"/>
  <c r="B63" i="19" s="1"/>
  <c r="E62" i="11"/>
  <c r="F30" i="11"/>
  <c r="F380" i="11"/>
  <c r="F357" i="11"/>
  <c r="F334" i="11"/>
  <c r="F326" i="11"/>
  <c r="F318" i="11"/>
  <c r="F310" i="11"/>
  <c r="F228" i="11"/>
  <c r="F220" i="11"/>
  <c r="F212" i="11"/>
  <c r="F204" i="11"/>
  <c r="F196" i="11"/>
  <c r="F164" i="11"/>
  <c r="F135" i="11"/>
  <c r="F127" i="11"/>
  <c r="F119" i="11"/>
  <c r="F111" i="11"/>
  <c r="F103" i="11"/>
  <c r="E95" i="11"/>
  <c r="F98" i="11" s="1"/>
  <c r="F54" i="11"/>
  <c r="F46" i="11"/>
  <c r="F38" i="11"/>
  <c r="F14" i="11"/>
  <c r="F13" i="11"/>
  <c r="F8" i="11"/>
  <c r="F7" i="11"/>
  <c r="F6" i="11"/>
  <c r="F5" i="11"/>
  <c r="F69" i="11"/>
  <c r="E160" i="11"/>
  <c r="E100" i="11"/>
  <c r="E101" i="11" s="1"/>
  <c r="E22" i="1" s="1"/>
  <c r="C22" i="10" s="1"/>
  <c r="E193" i="11"/>
  <c r="I190" i="11" s="1"/>
  <c r="D4" i="9"/>
  <c r="D3" i="9"/>
  <c r="F6" i="6"/>
  <c r="F5" i="6"/>
  <c r="D71" i="1"/>
  <c r="D64" i="1"/>
  <c r="D6" i="10"/>
  <c r="D7" i="1"/>
  <c r="D5" i="10" s="1"/>
  <c r="D4" i="10"/>
  <c r="D5" i="1"/>
  <c r="D3" i="10" s="1"/>
  <c r="A62" i="11"/>
  <c r="G63" i="6"/>
  <c r="F63" i="6"/>
  <c r="D60" i="1"/>
  <c r="C56" i="4" s="1"/>
  <c r="C60" i="1"/>
  <c r="B60" i="1"/>
  <c r="B63" i="6" s="1"/>
  <c r="E370" i="11"/>
  <c r="E60" i="1" s="1"/>
  <c r="C60" i="10" s="1"/>
  <c r="G34" i="10"/>
  <c r="G33" i="6"/>
  <c r="F33" i="6"/>
  <c r="D30" i="1"/>
  <c r="C26" i="4" s="1"/>
  <c r="C30" i="1"/>
  <c r="B30" i="1"/>
  <c r="B26" i="4" s="1"/>
  <c r="E386" i="11"/>
  <c r="E62" i="1" s="1"/>
  <c r="C62" i="10" s="1"/>
  <c r="E62" i="10" s="1"/>
  <c r="G35" i="10"/>
  <c r="G36" i="10" s="1"/>
  <c r="G37" i="10" s="1"/>
  <c r="G38" i="10" s="1"/>
  <c r="E354" i="11"/>
  <c r="E58" i="1" s="1"/>
  <c r="C58" i="10" s="1"/>
  <c r="E347" i="11"/>
  <c r="C347" i="11" s="1"/>
  <c r="D62" i="1"/>
  <c r="C58" i="4" s="1"/>
  <c r="D61" i="1"/>
  <c r="C57" i="4" s="1"/>
  <c r="E252" i="11"/>
  <c r="C252" i="11" s="1"/>
  <c r="D28" i="1"/>
  <c r="C24" i="4" s="1"/>
  <c r="E28" i="11"/>
  <c r="C28" i="11" s="1"/>
  <c r="E22" i="11"/>
  <c r="C22" i="11" s="1"/>
  <c r="F60" i="6"/>
  <c r="G60" i="6"/>
  <c r="F61" i="6"/>
  <c r="G61" i="6"/>
  <c r="F62" i="6"/>
  <c r="G62" i="6"/>
  <c r="F64" i="6"/>
  <c r="F65" i="6"/>
  <c r="G65" i="6"/>
  <c r="F16" i="6"/>
  <c r="G16" i="6"/>
  <c r="F17" i="6"/>
  <c r="G17" i="6"/>
  <c r="F18" i="6"/>
  <c r="G18" i="6"/>
  <c r="F19" i="6"/>
  <c r="G19" i="6"/>
  <c r="F20" i="6"/>
  <c r="G20" i="6"/>
  <c r="F21" i="6"/>
  <c r="G21" i="6"/>
  <c r="F22" i="6"/>
  <c r="G22" i="6"/>
  <c r="F23" i="6"/>
  <c r="G23" i="6"/>
  <c r="F24" i="6"/>
  <c r="G24" i="6"/>
  <c r="F25" i="6"/>
  <c r="G25" i="6"/>
  <c r="F26" i="6"/>
  <c r="G26" i="6"/>
  <c r="F27" i="6"/>
  <c r="G27" i="6"/>
  <c r="F28" i="6"/>
  <c r="G28" i="6"/>
  <c r="F29" i="6"/>
  <c r="G29" i="6"/>
  <c r="F30" i="6"/>
  <c r="G30" i="6"/>
  <c r="F31" i="6"/>
  <c r="G31" i="6"/>
  <c r="F32" i="6"/>
  <c r="G32" i="6"/>
  <c r="F34" i="6"/>
  <c r="G34" i="6"/>
  <c r="F35" i="6"/>
  <c r="G35" i="6"/>
  <c r="F36" i="6"/>
  <c r="G36" i="6"/>
  <c r="F37" i="6"/>
  <c r="G37" i="6"/>
  <c r="F38" i="6"/>
  <c r="G38" i="6"/>
  <c r="F39" i="6"/>
  <c r="G39" i="6"/>
  <c r="F40" i="6"/>
  <c r="G40" i="6"/>
  <c r="F41" i="6"/>
  <c r="G41" i="6"/>
  <c r="F42" i="6"/>
  <c r="G42" i="6"/>
  <c r="F43" i="6"/>
  <c r="G43" i="6"/>
  <c r="F44" i="6"/>
  <c r="G44" i="6"/>
  <c r="F45" i="6"/>
  <c r="G45" i="6"/>
  <c r="F46" i="6"/>
  <c r="G46" i="6"/>
  <c r="F47" i="6"/>
  <c r="G47" i="6"/>
  <c r="F48" i="6"/>
  <c r="G48" i="6"/>
  <c r="F49" i="6"/>
  <c r="G49" i="6"/>
  <c r="F50" i="6"/>
  <c r="G50" i="6"/>
  <c r="F51" i="6"/>
  <c r="G51" i="6"/>
  <c r="F52" i="6"/>
  <c r="G52" i="6"/>
  <c r="F53" i="6"/>
  <c r="G53" i="6"/>
  <c r="F54" i="6"/>
  <c r="G54" i="6"/>
  <c r="F55" i="6"/>
  <c r="G55" i="6"/>
  <c r="F56" i="6"/>
  <c r="G56" i="6"/>
  <c r="F57" i="6"/>
  <c r="G57" i="6"/>
  <c r="F58" i="6"/>
  <c r="G58" i="6"/>
  <c r="F59" i="6"/>
  <c r="G59" i="6"/>
  <c r="C62" i="1"/>
  <c r="B62" i="1"/>
  <c r="B65" i="6" s="1"/>
  <c r="C61" i="1"/>
  <c r="B61" i="1"/>
  <c r="B57" i="4" s="1"/>
  <c r="D59" i="1"/>
  <c r="C55" i="4" s="1"/>
  <c r="C59" i="1"/>
  <c r="B59" i="1"/>
  <c r="B62" i="6" s="1"/>
  <c r="D58" i="1"/>
  <c r="C54" i="4" s="1"/>
  <c r="C58" i="1"/>
  <c r="B58" i="1"/>
  <c r="B54" i="4" s="1"/>
  <c r="D57" i="1"/>
  <c r="C53" i="4" s="1"/>
  <c r="C57" i="1"/>
  <c r="B57" i="1"/>
  <c r="B60" i="6" s="1"/>
  <c r="D56" i="1"/>
  <c r="C52" i="4" s="1"/>
  <c r="C56" i="1"/>
  <c r="B56" i="1"/>
  <c r="B59" i="6" s="1"/>
  <c r="D55" i="1"/>
  <c r="C51" i="4" s="1"/>
  <c r="C55" i="1"/>
  <c r="B55" i="1"/>
  <c r="B58" i="6" s="1"/>
  <c r="D54" i="1"/>
  <c r="C50" i="4" s="1"/>
  <c r="C54" i="1"/>
  <c r="B54" i="1"/>
  <c r="B57" i="6" s="1"/>
  <c r="D53" i="1"/>
  <c r="C49" i="4" s="1"/>
  <c r="C53" i="1"/>
  <c r="B53" i="1"/>
  <c r="B56" i="6" s="1"/>
  <c r="D52" i="1"/>
  <c r="C48" i="4" s="1"/>
  <c r="C52" i="1"/>
  <c r="B52" i="1"/>
  <c r="B55" i="6" s="1"/>
  <c r="D51" i="1"/>
  <c r="C47" i="4" s="1"/>
  <c r="C51" i="1"/>
  <c r="B51" i="1"/>
  <c r="B54" i="6" s="1"/>
  <c r="D50" i="1"/>
  <c r="C46" i="4" s="1"/>
  <c r="C50" i="1"/>
  <c r="B50" i="1"/>
  <c r="B53" i="6" s="1"/>
  <c r="D49" i="1"/>
  <c r="C45" i="4" s="1"/>
  <c r="C49" i="1"/>
  <c r="B49" i="1"/>
  <c r="B52" i="6" s="1"/>
  <c r="D48" i="1"/>
  <c r="C44" i="4" s="1"/>
  <c r="C48" i="1"/>
  <c r="B48" i="1"/>
  <c r="B51" i="6" s="1"/>
  <c r="D47" i="1"/>
  <c r="C43" i="4" s="1"/>
  <c r="C47" i="1"/>
  <c r="B47" i="1"/>
  <c r="B50" i="6" s="1"/>
  <c r="D46" i="1"/>
  <c r="C42" i="4" s="1"/>
  <c r="C46" i="1"/>
  <c r="B46" i="1"/>
  <c r="B49" i="6" s="1"/>
  <c r="D45" i="1"/>
  <c r="C41" i="4" s="1"/>
  <c r="C45" i="1"/>
  <c r="B45" i="1"/>
  <c r="B48" i="6" s="1"/>
  <c r="D44" i="1"/>
  <c r="C40" i="4" s="1"/>
  <c r="C44" i="1"/>
  <c r="B44" i="1"/>
  <c r="B47" i="6" s="1"/>
  <c r="D43" i="1"/>
  <c r="C39" i="4" s="1"/>
  <c r="C43" i="1"/>
  <c r="B43" i="1"/>
  <c r="B46" i="6" s="1"/>
  <c r="D42" i="1"/>
  <c r="C38" i="4" s="1"/>
  <c r="C42" i="1"/>
  <c r="B42" i="1"/>
  <c r="B45" i="6" s="1"/>
  <c r="D41" i="1"/>
  <c r="C37" i="4" s="1"/>
  <c r="C41" i="1"/>
  <c r="B41" i="1"/>
  <c r="B44" i="6" s="1"/>
  <c r="D40" i="1"/>
  <c r="C36" i="4" s="1"/>
  <c r="C40" i="1"/>
  <c r="B40" i="1"/>
  <c r="B43" i="6" s="1"/>
  <c r="D39" i="1"/>
  <c r="C35" i="4" s="1"/>
  <c r="C39" i="1"/>
  <c r="B39" i="1"/>
  <c r="B42" i="6" s="1"/>
  <c r="D38" i="1"/>
  <c r="C34" i="4" s="1"/>
  <c r="C38" i="1"/>
  <c r="B38" i="1"/>
  <c r="B41" i="6" s="1"/>
  <c r="D37" i="1"/>
  <c r="C33" i="4" s="1"/>
  <c r="C37" i="1"/>
  <c r="B37" i="1"/>
  <c r="B33" i="4" s="1"/>
  <c r="D36" i="1"/>
  <c r="C32" i="4" s="1"/>
  <c r="C36" i="1"/>
  <c r="B36" i="1"/>
  <c r="B39" i="6" s="1"/>
  <c r="C29" i="1"/>
  <c r="D35" i="1"/>
  <c r="C31" i="4" s="1"/>
  <c r="C35" i="1"/>
  <c r="B35" i="1"/>
  <c r="B38" i="6" s="1"/>
  <c r="D34" i="1"/>
  <c r="C30" i="4" s="1"/>
  <c r="C34" i="1"/>
  <c r="B34" i="1"/>
  <c r="B37" i="6" s="1"/>
  <c r="D33" i="1"/>
  <c r="C29" i="4" s="1"/>
  <c r="C33" i="1"/>
  <c r="B33" i="1"/>
  <c r="B36" i="6" s="1"/>
  <c r="D32" i="1"/>
  <c r="C28" i="4" s="1"/>
  <c r="C32" i="1"/>
  <c r="B32" i="1"/>
  <c r="B28" i="4" s="1"/>
  <c r="D31" i="1"/>
  <c r="C27" i="4" s="1"/>
  <c r="C31" i="1"/>
  <c r="B31" i="1"/>
  <c r="B34" i="6" s="1"/>
  <c r="D29" i="1"/>
  <c r="C25" i="4" s="1"/>
  <c r="B29" i="1"/>
  <c r="B32" i="6" s="1"/>
  <c r="C28" i="1"/>
  <c r="B28" i="1"/>
  <c r="B31" i="6" s="1"/>
  <c r="D27" i="1"/>
  <c r="C23" i="4" s="1"/>
  <c r="C27" i="1"/>
  <c r="B27" i="1"/>
  <c r="B30" i="6" s="1"/>
  <c r="D26" i="1"/>
  <c r="C22" i="4" s="1"/>
  <c r="C26" i="1"/>
  <c r="B26" i="1"/>
  <c r="B29" i="6" s="1"/>
  <c r="D25" i="1"/>
  <c r="C21" i="4" s="1"/>
  <c r="C25" i="1"/>
  <c r="B25" i="1"/>
  <c r="B28" i="6" s="1"/>
  <c r="D24" i="1"/>
  <c r="C20" i="4" s="1"/>
  <c r="C24" i="1"/>
  <c r="B24" i="1"/>
  <c r="B20" i="4" s="1"/>
  <c r="D23" i="1"/>
  <c r="C19" i="4" s="1"/>
  <c r="C23" i="1"/>
  <c r="B23" i="1"/>
  <c r="B26" i="6" s="1"/>
  <c r="D22" i="1"/>
  <c r="C18" i="4" s="1"/>
  <c r="C22" i="1"/>
  <c r="B22" i="1"/>
  <c r="B25" i="6" s="1"/>
  <c r="D21" i="1"/>
  <c r="C17" i="4" s="1"/>
  <c r="C21" i="1"/>
  <c r="B21" i="1"/>
  <c r="B17" i="4" s="1"/>
  <c r="D20" i="1"/>
  <c r="C16" i="4" s="1"/>
  <c r="C20" i="1"/>
  <c r="B20" i="1"/>
  <c r="B23" i="6" s="1"/>
  <c r="D19" i="1"/>
  <c r="C15" i="4" s="1"/>
  <c r="C19" i="1"/>
  <c r="B19" i="1"/>
  <c r="B22" i="6" s="1"/>
  <c r="B17" i="1"/>
  <c r="B20" i="6" s="1"/>
  <c r="C16" i="1"/>
  <c r="B15" i="1"/>
  <c r="B11" i="4" s="1"/>
  <c r="D14" i="1"/>
  <c r="C10" i="4" s="1"/>
  <c r="C14" i="1"/>
  <c r="B14" i="1"/>
  <c r="B17" i="6" s="1"/>
  <c r="D13" i="1"/>
  <c r="C9" i="4" s="1"/>
  <c r="C13" i="1"/>
  <c r="B13" i="1"/>
  <c r="B9" i="4" s="1"/>
  <c r="E377" i="11"/>
  <c r="E61" i="1" s="1"/>
  <c r="C61" i="10" s="1"/>
  <c r="G40" i="10"/>
  <c r="G41" i="10" s="1"/>
  <c r="G42" i="10" s="1"/>
  <c r="G43" i="10" s="1"/>
  <c r="G44" i="10" s="1"/>
  <c r="B52" i="4"/>
  <c r="B38" i="4"/>
  <c r="B30" i="4"/>
  <c r="B48" i="4"/>
  <c r="B23" i="4"/>
  <c r="B55" i="4"/>
  <c r="B49" i="4"/>
  <c r="B43" i="4"/>
  <c r="B41" i="4"/>
  <c r="B37" i="4"/>
  <c r="G46" i="10"/>
  <c r="G47" i="10" s="1"/>
  <c r="E363" i="11"/>
  <c r="E59" i="1" s="1"/>
  <c r="C59" i="10" s="1"/>
  <c r="E340" i="11"/>
  <c r="E56" i="1" s="1"/>
  <c r="C56" i="10" s="1"/>
  <c r="E332" i="11"/>
  <c r="E55" i="1" s="1"/>
  <c r="C55" i="10" s="1"/>
  <c r="E324" i="11"/>
  <c r="E54" i="1" s="1"/>
  <c r="C54" i="10" s="1"/>
  <c r="E234" i="11"/>
  <c r="E40" i="1" s="1"/>
  <c r="C40" i="10" s="1"/>
  <c r="E226" i="11"/>
  <c r="E39" i="1" s="1"/>
  <c r="C39" i="10" s="1"/>
  <c r="I54" i="10" s="1"/>
  <c r="E12" i="1"/>
  <c r="C12" i="10" s="1"/>
  <c r="J34" i="10" s="1"/>
  <c r="F15" i="6"/>
  <c r="G49" i="10"/>
  <c r="G50" i="10" s="1"/>
  <c r="G51" i="10" s="1"/>
  <c r="G52" i="10" s="1"/>
  <c r="G53" i="10" s="1"/>
  <c r="G54" i="10" s="1"/>
  <c r="G55" i="10" s="1"/>
  <c r="D18" i="1"/>
  <c r="C14" i="4" s="1"/>
  <c r="C18" i="1"/>
  <c r="B18" i="1"/>
  <c r="B21" i="6" s="1"/>
  <c r="D17" i="1"/>
  <c r="C13" i="4" s="1"/>
  <c r="D16" i="1"/>
  <c r="C12" i="4" s="1"/>
  <c r="B16" i="1"/>
  <c r="B19" i="6" s="1"/>
  <c r="D15" i="1"/>
  <c r="C11" i="4" s="1"/>
  <c r="C15" i="1"/>
  <c r="D12" i="1"/>
  <c r="C8" i="4" s="1"/>
  <c r="C12" i="1"/>
  <c r="B12" i="1"/>
  <c r="B15" i="6" s="1"/>
  <c r="B11" i="1"/>
  <c r="B7" i="4" s="1"/>
  <c r="E316" i="11"/>
  <c r="E53" i="1" s="1"/>
  <c r="C53" i="10" s="1"/>
  <c r="B14" i="4"/>
  <c r="E218" i="11"/>
  <c r="E38" i="1" s="1"/>
  <c r="C38" i="10" s="1"/>
  <c r="E210" i="11"/>
  <c r="E37" i="1" s="1"/>
  <c r="C37" i="10" s="1"/>
  <c r="I52" i="10" s="1"/>
  <c r="E202" i="11"/>
  <c r="E36" i="1" s="1"/>
  <c r="C36" i="10" s="1"/>
  <c r="I188" i="11"/>
  <c r="I187" i="11"/>
  <c r="I186" i="11"/>
  <c r="I185" i="11"/>
  <c r="I184" i="11"/>
  <c r="E181" i="11"/>
  <c r="I179" i="11" s="1"/>
  <c r="E170" i="11"/>
  <c r="E31" i="1" s="1"/>
  <c r="C31" i="10" s="1"/>
  <c r="E31" i="10" s="1"/>
  <c r="E141" i="11"/>
  <c r="E27" i="1" s="1"/>
  <c r="C27" i="10" s="1"/>
  <c r="E133" i="11"/>
  <c r="E26" i="1" s="1"/>
  <c r="C26" i="10" s="1"/>
  <c r="J43" i="10" s="1"/>
  <c r="E125" i="11"/>
  <c r="E117" i="11"/>
  <c r="E24" i="1" s="1"/>
  <c r="C24" i="10" s="1"/>
  <c r="J41" i="10" s="1"/>
  <c r="E109" i="11"/>
  <c r="E25" i="1" s="1"/>
  <c r="C25" i="10" s="1"/>
  <c r="J42" i="10" s="1"/>
  <c r="E60" i="11"/>
  <c r="E18" i="1" s="1"/>
  <c r="C18" i="10" s="1"/>
  <c r="E52" i="11"/>
  <c r="E17" i="1" s="1"/>
  <c r="C17" i="10" s="1"/>
  <c r="E36" i="11"/>
  <c r="E15" i="1" s="1"/>
  <c r="C15" i="10" s="1"/>
  <c r="E9" i="11"/>
  <c r="E10" i="11" s="1"/>
  <c r="E11" i="1" s="1"/>
  <c r="C11" i="10" s="1"/>
  <c r="E11" i="10" s="1"/>
  <c r="G60" i="10"/>
  <c r="G61" i="10" s="1"/>
  <c r="G62" i="10" s="1"/>
  <c r="G63" i="10" s="1"/>
  <c r="G66" i="10"/>
  <c r="E44" i="11"/>
  <c r="E16" i="1" s="1"/>
  <c r="C16" i="10" s="1"/>
  <c r="C17" i="1"/>
  <c r="F49" i="11"/>
  <c r="F47" i="11"/>
  <c r="G15" i="6"/>
  <c r="B14" i="6"/>
  <c r="A14" i="6"/>
  <c r="A7" i="4"/>
  <c r="A12" i="1"/>
  <c r="A13" i="1" s="1"/>
  <c r="B12" i="10"/>
  <c r="B13" i="10" s="1"/>
  <c r="B14" i="10"/>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4" i="6" l="1"/>
  <c r="B22" i="4"/>
  <c r="E240" i="11"/>
  <c r="E241" i="11" s="1"/>
  <c r="E75" i="11"/>
  <c r="E73" i="11"/>
  <c r="E72" i="11"/>
  <c r="A8" i="4"/>
  <c r="L65" i="10"/>
  <c r="B13" i="4"/>
  <c r="B27" i="4"/>
  <c r="B45" i="4"/>
  <c r="B32" i="4"/>
  <c r="B16" i="4"/>
  <c r="B16" i="6"/>
  <c r="A15" i="6"/>
  <c r="B24" i="4"/>
  <c r="B29" i="4"/>
  <c r="B39" i="4"/>
  <c r="B47" i="4"/>
  <c r="B53" i="4"/>
  <c r="B58" i="4"/>
  <c r="B19" i="4"/>
  <c r="B40" i="4"/>
  <c r="B46" i="4"/>
  <c r="B27" i="6"/>
  <c r="E281" i="11"/>
  <c r="E282" i="11" s="1"/>
  <c r="E48" i="1" s="1"/>
  <c r="C48" i="10" s="1"/>
  <c r="I57" i="10" s="1"/>
  <c r="C370" i="11"/>
  <c r="C354" i="11"/>
  <c r="B40" i="6"/>
  <c r="B56" i="4"/>
  <c r="B18" i="6"/>
  <c r="B31" i="4"/>
  <c r="B35" i="4"/>
  <c r="B51" i="4"/>
  <c r="B10" i="4"/>
  <c r="B8" i="4"/>
  <c r="B21" i="4"/>
  <c r="B35" i="6"/>
  <c r="C59" i="19"/>
  <c r="E59" i="19" s="1"/>
  <c r="B18" i="4"/>
  <c r="B33" i="6"/>
  <c r="C61" i="19"/>
  <c r="I29" i="19" s="1"/>
  <c r="E43" i="1"/>
  <c r="I194" i="11"/>
  <c r="E26" i="10"/>
  <c r="I193" i="11"/>
  <c r="G67" i="6"/>
  <c r="E84" i="11"/>
  <c r="C84" i="11" s="1"/>
  <c r="I178" i="11"/>
  <c r="I180" i="11"/>
  <c r="E182" i="11" s="1"/>
  <c r="E33" i="1" s="1"/>
  <c r="C33" i="10" s="1"/>
  <c r="J48" i="10" s="1"/>
  <c r="C24" i="19"/>
  <c r="E24" i="19" s="1"/>
  <c r="C25" i="19"/>
  <c r="J42" i="19" s="1"/>
  <c r="C34" i="19"/>
  <c r="J49" i="19" s="1"/>
  <c r="C35" i="19"/>
  <c r="E35" i="19" s="1"/>
  <c r="C43" i="19"/>
  <c r="E43" i="19" s="1"/>
  <c r="C49" i="19"/>
  <c r="J58" i="19" s="1"/>
  <c r="C62" i="19"/>
  <c r="I72" i="19" s="1"/>
  <c r="I36" i="19"/>
  <c r="C27" i="19"/>
  <c r="J44" i="19" s="1"/>
  <c r="C37" i="19"/>
  <c r="E37" i="19" s="1"/>
  <c r="C53" i="19"/>
  <c r="J60" i="19" s="1"/>
  <c r="C17" i="19"/>
  <c r="J37" i="19" s="1"/>
  <c r="C28" i="19"/>
  <c r="E28" i="19" s="1"/>
  <c r="C38" i="19"/>
  <c r="J53" i="19" s="1"/>
  <c r="C54" i="19"/>
  <c r="J61" i="19" s="1"/>
  <c r="J38" i="19"/>
  <c r="C30" i="19"/>
  <c r="J46" i="19" s="1"/>
  <c r="C39" i="19"/>
  <c r="E39" i="19" s="1"/>
  <c r="C55" i="19"/>
  <c r="J62" i="19" s="1"/>
  <c r="C19" i="19"/>
  <c r="E19" i="19" s="1"/>
  <c r="C31" i="19"/>
  <c r="I47" i="19" s="1"/>
  <c r="C40" i="19"/>
  <c r="J55" i="19" s="1"/>
  <c r="C56" i="19"/>
  <c r="J63" i="19" s="1"/>
  <c r="C60" i="19"/>
  <c r="E60" i="19" s="1"/>
  <c r="J40" i="19"/>
  <c r="C32" i="19"/>
  <c r="J48" i="19" s="1"/>
  <c r="C41" i="19"/>
  <c r="I56" i="19" s="1"/>
  <c r="C57" i="19"/>
  <c r="J70" i="19" s="1"/>
  <c r="J34" i="19"/>
  <c r="E13" i="19"/>
  <c r="C26" i="19"/>
  <c r="J43" i="19" s="1"/>
  <c r="C36" i="19"/>
  <c r="J51" i="19" s="1"/>
  <c r="C51" i="19"/>
  <c r="I59" i="19" s="1"/>
  <c r="C63" i="19"/>
  <c r="I73" i="19" s="1"/>
  <c r="D6" i="19"/>
  <c r="I191" i="11"/>
  <c r="I192" i="11"/>
  <c r="E57" i="1"/>
  <c r="E300" i="11"/>
  <c r="E301" i="11" s="1"/>
  <c r="E149" i="11"/>
  <c r="E29" i="1" s="1"/>
  <c r="C29" i="10" s="1"/>
  <c r="E175" i="11"/>
  <c r="E176" i="11" s="1"/>
  <c r="E305" i="11"/>
  <c r="E306" i="11" s="1"/>
  <c r="E307" i="11" s="1"/>
  <c r="E308" i="11" s="1"/>
  <c r="E52" i="1" s="1"/>
  <c r="C52" i="10" s="1"/>
  <c r="I59" i="10" s="1"/>
  <c r="F96" i="11"/>
  <c r="E287" i="11"/>
  <c r="E288" i="11" s="1"/>
  <c r="E49" i="1" s="1"/>
  <c r="E14" i="1"/>
  <c r="E13" i="1"/>
  <c r="E92" i="11"/>
  <c r="E263" i="11"/>
  <c r="E264" i="11" s="1"/>
  <c r="E269" i="11"/>
  <c r="E270" i="11" s="1"/>
  <c r="E188" i="11"/>
  <c r="E34" i="1" s="1"/>
  <c r="C34" i="10" s="1"/>
  <c r="I49" i="10" s="1"/>
  <c r="E275" i="11"/>
  <c r="E276" i="11" s="1"/>
  <c r="C276" i="11" s="1"/>
  <c r="E257" i="11"/>
  <c r="E258" i="11" s="1"/>
  <c r="C258" i="11" s="1"/>
  <c r="A14" i="1"/>
  <c r="A9" i="4"/>
  <c r="I38" i="10"/>
  <c r="E18" i="10"/>
  <c r="J38" i="10"/>
  <c r="A16" i="6"/>
  <c r="E16" i="10"/>
  <c r="J36" i="10"/>
  <c r="I55" i="10"/>
  <c r="E40" i="10"/>
  <c r="J55" i="10"/>
  <c r="J35" i="10"/>
  <c r="E15" i="10"/>
  <c r="I35" i="10"/>
  <c r="I51" i="10"/>
  <c r="E36" i="10"/>
  <c r="J51" i="10"/>
  <c r="J64" i="10"/>
  <c r="I64" i="10"/>
  <c r="E59" i="10"/>
  <c r="E17" i="10"/>
  <c r="I37" i="10"/>
  <c r="J37" i="10"/>
  <c r="E56" i="10"/>
  <c r="I63" i="10"/>
  <c r="J63" i="10"/>
  <c r="I36" i="10"/>
  <c r="I42" i="10"/>
  <c r="E25" i="10"/>
  <c r="J52" i="10"/>
  <c r="E37" i="10"/>
  <c r="I27" i="10"/>
  <c r="E58" i="10"/>
  <c r="J27" i="10"/>
  <c r="E60" i="10"/>
  <c r="I28" i="10"/>
  <c r="J28" i="10"/>
  <c r="E161" i="11"/>
  <c r="E162" i="11" s="1"/>
  <c r="E30" i="1" s="1"/>
  <c r="C30" i="10" s="1"/>
  <c r="E54" i="10"/>
  <c r="J61" i="10"/>
  <c r="I61" i="10"/>
  <c r="I62" i="10"/>
  <c r="E55" i="10"/>
  <c r="I44" i="10"/>
  <c r="E27" i="10"/>
  <c r="J44" i="10"/>
  <c r="E53" i="10"/>
  <c r="I60" i="10"/>
  <c r="J60" i="10"/>
  <c r="I43" i="10"/>
  <c r="I41" i="10"/>
  <c r="E24" i="10"/>
  <c r="J47" i="10"/>
  <c r="I47" i="10"/>
  <c r="J62" i="10"/>
  <c r="E61" i="10"/>
  <c r="J65" i="10"/>
  <c r="I65" i="10"/>
  <c r="E12" i="10"/>
  <c r="I34" i="10"/>
  <c r="I33" i="10"/>
  <c r="J33" i="10"/>
  <c r="I53" i="10"/>
  <c r="E38" i="10"/>
  <c r="J53" i="10"/>
  <c r="I66" i="10"/>
  <c r="J66" i="10"/>
  <c r="E39" i="10"/>
  <c r="J54" i="10"/>
  <c r="I39" i="10"/>
  <c r="E22" i="10"/>
  <c r="J39" i="10"/>
  <c r="B36" i="4"/>
  <c r="B44" i="4"/>
  <c r="B24" i="6"/>
  <c r="E23" i="1"/>
  <c r="C23" i="10" s="1"/>
  <c r="B25" i="4"/>
  <c r="B61" i="6"/>
  <c r="F97" i="11"/>
  <c r="I182" i="11"/>
  <c r="B15" i="4"/>
  <c r="B34" i="4"/>
  <c r="I181" i="11"/>
  <c r="B12" i="4"/>
  <c r="B42" i="4"/>
  <c r="B50" i="4"/>
  <c r="E245" i="11" l="1"/>
  <c r="E42" i="1" s="1"/>
  <c r="C42" i="10" s="1"/>
  <c r="I56" i="10" s="1"/>
  <c r="E76" i="11"/>
  <c r="C76" i="11" s="1"/>
  <c r="E56" i="19"/>
  <c r="E48" i="10"/>
  <c r="J57" i="10"/>
  <c r="J28" i="19"/>
  <c r="E194" i="11"/>
  <c r="E35" i="1" s="1"/>
  <c r="C35" i="10" s="1"/>
  <c r="J50" i="10" s="1"/>
  <c r="E62" i="19"/>
  <c r="E61" i="19"/>
  <c r="C57" i="10"/>
  <c r="I26" i="10" s="1"/>
  <c r="C58" i="19"/>
  <c r="I28" i="19"/>
  <c r="J29" i="19"/>
  <c r="C43" i="10"/>
  <c r="C44" i="19"/>
  <c r="C13" i="10"/>
  <c r="C14" i="19"/>
  <c r="C14" i="10"/>
  <c r="I12" i="10" s="1"/>
  <c r="C15" i="19"/>
  <c r="I60" i="19"/>
  <c r="I61" i="19"/>
  <c r="E55" i="19"/>
  <c r="E32" i="19"/>
  <c r="E54" i="19"/>
  <c r="J72" i="19"/>
  <c r="E150" i="11"/>
  <c r="E28" i="1" s="1"/>
  <c r="F91" i="11"/>
  <c r="F90" i="11"/>
  <c r="F82" i="11"/>
  <c r="F83" i="11"/>
  <c r="E20" i="1"/>
  <c r="I51" i="19"/>
  <c r="E49" i="19"/>
  <c r="I58" i="19"/>
  <c r="C49" i="10"/>
  <c r="I24" i="10" s="1"/>
  <c r="C50" i="19"/>
  <c r="E47" i="1"/>
  <c r="J57" i="19"/>
  <c r="I57" i="19"/>
  <c r="I55" i="19"/>
  <c r="E40" i="19"/>
  <c r="I53" i="19"/>
  <c r="E38" i="19"/>
  <c r="I49" i="19"/>
  <c r="E34" i="19"/>
  <c r="E31" i="19"/>
  <c r="J47" i="19"/>
  <c r="J45" i="19"/>
  <c r="I41" i="19"/>
  <c r="J41" i="19"/>
  <c r="I37" i="19"/>
  <c r="J35" i="19"/>
  <c r="I45" i="19"/>
  <c r="I43" i="19"/>
  <c r="I42" i="19"/>
  <c r="E25" i="19"/>
  <c r="J39" i="19"/>
  <c r="E16" i="19"/>
  <c r="J36" i="19"/>
  <c r="I35" i="19"/>
  <c r="E23" i="19"/>
  <c r="I38" i="19"/>
  <c r="E18" i="19"/>
  <c r="I71" i="19"/>
  <c r="E51" i="19"/>
  <c r="J71" i="19"/>
  <c r="I70" i="19"/>
  <c r="E57" i="19"/>
  <c r="E17" i="19"/>
  <c r="J59" i="19"/>
  <c r="I46" i="19"/>
  <c r="E30" i="19"/>
  <c r="I44" i="19"/>
  <c r="I39" i="19"/>
  <c r="J50" i="19"/>
  <c r="E36" i="19"/>
  <c r="I40" i="19"/>
  <c r="I50" i="19"/>
  <c r="E26" i="19"/>
  <c r="E12" i="19"/>
  <c r="I62" i="19"/>
  <c r="I54" i="19"/>
  <c r="J56" i="19"/>
  <c r="I48" i="19"/>
  <c r="I34" i="19"/>
  <c r="I52" i="19"/>
  <c r="J54" i="19"/>
  <c r="J73" i="19"/>
  <c r="E63" i="19"/>
  <c r="J52" i="19"/>
  <c r="E27" i="19"/>
  <c r="I63" i="19"/>
  <c r="E41" i="19"/>
  <c r="E53" i="19"/>
  <c r="C288" i="11"/>
  <c r="E57" i="10"/>
  <c r="J26" i="10"/>
  <c r="E52" i="10"/>
  <c r="E293" i="11"/>
  <c r="E294" i="11" s="1"/>
  <c r="E295" i="11" s="1"/>
  <c r="E50" i="1" s="1"/>
  <c r="C50" i="10" s="1"/>
  <c r="J59" i="10"/>
  <c r="C301" i="11"/>
  <c r="E51" i="1"/>
  <c r="C176" i="11"/>
  <c r="E32" i="1"/>
  <c r="E33" i="10"/>
  <c r="I48" i="10"/>
  <c r="E44" i="1"/>
  <c r="J49" i="10"/>
  <c r="E34" i="10"/>
  <c r="C264" i="11"/>
  <c r="E45" i="1"/>
  <c r="E46" i="1"/>
  <c r="C270" i="11"/>
  <c r="E21" i="1"/>
  <c r="C92" i="11"/>
  <c r="I45" i="10"/>
  <c r="J45" i="10"/>
  <c r="E29" i="10"/>
  <c r="A17" i="6"/>
  <c r="A10" i="4"/>
  <c r="A15" i="1"/>
  <c r="J40" i="10"/>
  <c r="E23" i="10"/>
  <c r="I40" i="10"/>
  <c r="I46" i="10"/>
  <c r="J46" i="10"/>
  <c r="E30" i="10"/>
  <c r="C241" i="11"/>
  <c r="E41" i="1"/>
  <c r="E42" i="10" l="1"/>
  <c r="J56" i="10"/>
  <c r="E14" i="10"/>
  <c r="I50" i="10"/>
  <c r="E35" i="10"/>
  <c r="J12" i="10"/>
  <c r="I27" i="19"/>
  <c r="J27" i="19"/>
  <c r="E58" i="19"/>
  <c r="E44" i="19"/>
  <c r="J20" i="19"/>
  <c r="I20" i="19"/>
  <c r="E43" i="10"/>
  <c r="I19" i="10"/>
  <c r="J19" i="10"/>
  <c r="C150" i="11"/>
  <c r="E19" i="1"/>
  <c r="C20" i="19" s="1"/>
  <c r="E14" i="19"/>
  <c r="I12" i="19"/>
  <c r="J12" i="19"/>
  <c r="J11" i="10"/>
  <c r="E13" i="10"/>
  <c r="I11" i="10"/>
  <c r="I13" i="19"/>
  <c r="E15" i="19"/>
  <c r="J13" i="19"/>
  <c r="C51" i="10"/>
  <c r="I25" i="10" s="1"/>
  <c r="C52" i="19"/>
  <c r="E49" i="10"/>
  <c r="J24" i="10"/>
  <c r="C32" i="10"/>
  <c r="I17" i="10" s="1"/>
  <c r="C33" i="19"/>
  <c r="C28" i="10"/>
  <c r="I16" i="10" s="1"/>
  <c r="C29" i="19"/>
  <c r="C21" i="10"/>
  <c r="J15" i="10" s="1"/>
  <c r="C22" i="19"/>
  <c r="C20" i="10"/>
  <c r="C21" i="19"/>
  <c r="E50" i="19"/>
  <c r="J25" i="19"/>
  <c r="I25" i="19"/>
  <c r="C47" i="10"/>
  <c r="C48" i="19"/>
  <c r="C46" i="10"/>
  <c r="J22" i="10" s="1"/>
  <c r="C47" i="19"/>
  <c r="C45" i="10"/>
  <c r="E45" i="10" s="1"/>
  <c r="C46" i="19"/>
  <c r="C44" i="10"/>
  <c r="I20" i="10" s="1"/>
  <c r="C45" i="19"/>
  <c r="C41" i="10"/>
  <c r="J18" i="10" s="1"/>
  <c r="C42" i="19"/>
  <c r="I58" i="10"/>
  <c r="E50" i="10"/>
  <c r="J58" i="10"/>
  <c r="A16" i="1"/>
  <c r="A18" i="6"/>
  <c r="A11" i="4"/>
  <c r="C19" i="10" l="1"/>
  <c r="J13" i="10" s="1"/>
  <c r="E28" i="10"/>
  <c r="I15" i="10"/>
  <c r="E21" i="10"/>
  <c r="E51" i="10"/>
  <c r="I18" i="10"/>
  <c r="E41" i="10"/>
  <c r="J16" i="10"/>
  <c r="E32" i="10"/>
  <c r="J25" i="10"/>
  <c r="E29" i="19"/>
  <c r="I17" i="19"/>
  <c r="J17" i="19"/>
  <c r="E33" i="19"/>
  <c r="I18" i="19"/>
  <c r="J18" i="19"/>
  <c r="J17" i="10"/>
  <c r="J26" i="19"/>
  <c r="I26" i="19"/>
  <c r="E52" i="19"/>
  <c r="I14" i="10"/>
  <c r="J14" i="10"/>
  <c r="E20" i="10"/>
  <c r="J15" i="19"/>
  <c r="E21" i="19"/>
  <c r="I15" i="19"/>
  <c r="E20" i="19"/>
  <c r="J14" i="19"/>
  <c r="I14" i="19"/>
  <c r="I21" i="10"/>
  <c r="E44" i="10"/>
  <c r="I22" i="10"/>
  <c r="E46" i="10"/>
  <c r="I16" i="19"/>
  <c r="J16" i="19"/>
  <c r="E22" i="19"/>
  <c r="J20" i="10"/>
  <c r="E48" i="19"/>
  <c r="I24" i="19"/>
  <c r="J24" i="19"/>
  <c r="I23" i="10"/>
  <c r="E47" i="10"/>
  <c r="J23" i="10"/>
  <c r="I23" i="19"/>
  <c r="J23" i="19"/>
  <c r="E47" i="19"/>
  <c r="J21" i="10"/>
  <c r="J22" i="19"/>
  <c r="I22" i="19"/>
  <c r="E46" i="19"/>
  <c r="E45" i="19"/>
  <c r="I21" i="19"/>
  <c r="J21" i="19"/>
  <c r="E42" i="19"/>
  <c r="I19" i="19"/>
  <c r="J19" i="19"/>
  <c r="A17" i="1"/>
  <c r="A19" i="6"/>
  <c r="A12" i="4"/>
  <c r="I13" i="10" l="1"/>
  <c r="E19" i="10"/>
  <c r="E64" i="10" s="1"/>
  <c r="O13" i="10" s="1"/>
  <c r="J30" i="10"/>
  <c r="O10" i="10" s="1"/>
  <c r="J31" i="19"/>
  <c r="O11" i="19" s="1"/>
  <c r="E71" i="19"/>
  <c r="O14" i="19" s="1"/>
  <c r="A18" i="1"/>
  <c r="A13" i="4"/>
  <c r="A20" i="6"/>
  <c r="O16" i="10" l="1"/>
  <c r="O17" i="19"/>
  <c r="A14" i="4"/>
  <c r="A21" i="6"/>
  <c r="A19" i="1"/>
  <c r="A22" i="6" l="1"/>
  <c r="A15" i="4"/>
  <c r="A20" i="1"/>
  <c r="A23" i="6" l="1"/>
  <c r="A16" i="4"/>
  <c r="A21" i="1"/>
  <c r="A22" i="1" l="1"/>
  <c r="A24" i="6"/>
  <c r="A17" i="4"/>
  <c r="A25" i="6" l="1"/>
  <c r="A18" i="4"/>
  <c r="A23" i="1"/>
  <c r="A19" i="4" l="1"/>
  <c r="A26" i="6"/>
  <c r="A24" i="1"/>
  <c r="A25" i="1" l="1"/>
  <c r="A27" i="6"/>
  <c r="A20" i="4"/>
  <c r="A21" i="4" l="1"/>
  <c r="A28" i="6"/>
  <c r="A26" i="1"/>
  <c r="A27" i="1" l="1"/>
  <c r="A29" i="6"/>
  <c r="A22" i="4"/>
  <c r="A23" i="4" l="1"/>
  <c r="A28" i="1"/>
  <c r="A30" i="6"/>
  <c r="A29" i="1" l="1"/>
  <c r="A31" i="6"/>
  <c r="A24" i="4"/>
  <c r="A25" i="4" l="1"/>
  <c r="A30" i="1"/>
  <c r="A32" i="6"/>
  <c r="A26" i="4" l="1"/>
  <c r="A31" i="1"/>
  <c r="A33" i="6"/>
  <c r="A32" i="1" l="1"/>
  <c r="A34" i="6"/>
  <c r="A27" i="4"/>
  <c r="A33" i="1" l="1"/>
  <c r="A35" i="6"/>
  <c r="A28" i="4"/>
  <c r="A36" i="6" l="1"/>
  <c r="A29" i="4"/>
  <c r="A34" i="1"/>
  <c r="A35" i="1" l="1"/>
  <c r="A37" i="6"/>
  <c r="A30" i="4"/>
  <c r="A38" i="6" l="1"/>
  <c r="A31" i="4"/>
  <c r="A36" i="1"/>
  <c r="A37" i="1" l="1"/>
  <c r="A39" i="6"/>
  <c r="A32" i="4"/>
  <c r="A33" i="4" l="1"/>
  <c r="A38" i="1"/>
  <c r="A40" i="6"/>
  <c r="A41" i="6" l="1"/>
  <c r="A39" i="1"/>
  <c r="A34" i="4"/>
  <c r="A40" i="1" l="1"/>
  <c r="A42" i="6"/>
  <c r="A35" i="4"/>
  <c r="A41" i="1" l="1"/>
  <c r="A43" i="6"/>
  <c r="A36" i="4"/>
  <c r="A37" i="4" l="1"/>
  <c r="A44" i="6"/>
  <c r="A42" i="1"/>
  <c r="A43" i="1" l="1"/>
  <c r="A45" i="6"/>
  <c r="A38" i="4"/>
  <c r="A44" i="1" l="1"/>
  <c r="A39" i="4"/>
  <c r="A46" i="6"/>
  <c r="A45" i="1" l="1"/>
  <c r="A40" i="4"/>
  <c r="A47" i="6"/>
  <c r="A41" i="4" l="1"/>
  <c r="A46" i="1"/>
  <c r="A48" i="6"/>
  <c r="A49" i="6" l="1"/>
  <c r="A42" i="4"/>
  <c r="A47" i="1"/>
  <c r="A48" i="1" l="1"/>
  <c r="A43" i="4"/>
  <c r="A50" i="6"/>
  <c r="A44" i="4" l="1"/>
  <c r="A49" i="1"/>
  <c r="A51" i="6"/>
  <c r="A52" i="6" l="1"/>
  <c r="A45" i="4"/>
  <c r="A50" i="1"/>
  <c r="A51" i="1" l="1"/>
  <c r="A46" i="4"/>
  <c r="A53" i="6"/>
  <c r="A47" i="4" l="1"/>
  <c r="A54" i="6"/>
  <c r="A52" i="1"/>
  <c r="A53" i="1" l="1"/>
  <c r="A48" i="4"/>
  <c r="A55" i="6"/>
  <c r="A49" i="4" l="1"/>
  <c r="A54" i="1"/>
  <c r="A56" i="6"/>
  <c r="A50" i="4" l="1"/>
  <c r="A57" i="6"/>
  <c r="A55" i="1"/>
  <c r="A56" i="1" l="1"/>
  <c r="A58" i="6"/>
  <c r="A51" i="4"/>
  <c r="A57" i="1" l="1"/>
  <c r="A52" i="4"/>
  <c r="A59" i="6"/>
  <c r="A60" i="6" l="1"/>
  <c r="A53" i="4"/>
  <c r="A58" i="1"/>
  <c r="A59" i="1" l="1"/>
  <c r="A61" i="6"/>
  <c r="A54" i="4"/>
  <c r="A55" i="4" l="1"/>
  <c r="A60" i="1"/>
  <c r="A62" i="6"/>
  <c r="A61" i="1" l="1"/>
  <c r="A63" i="6"/>
  <c r="A56" i="4"/>
  <c r="A57" i="4" l="1"/>
  <c r="A62" i="1"/>
  <c r="A64" i="6"/>
  <c r="A65" i="6" l="1"/>
  <c r="A58" i="4"/>
</calcChain>
</file>

<file path=xl/sharedStrings.xml><?xml version="1.0" encoding="utf-8"?>
<sst xmlns="http://schemas.openxmlformats.org/spreadsheetml/2006/main" count="815" uniqueCount="586">
  <si>
    <t>Skor</t>
  </si>
  <si>
    <t>Rekap Asesmen Kecukupan</t>
  </si>
  <si>
    <t>KETERANGAN</t>
  </si>
  <si>
    <t>Ket.</t>
  </si>
  <si>
    <t>2.1.1</t>
  </si>
  <si>
    <t>2.1.2</t>
  </si>
  <si>
    <t>Tanggal Penilaian</t>
  </si>
  <si>
    <t>No.</t>
  </si>
  <si>
    <t>Aspek Penilaian</t>
  </si>
  <si>
    <t>Bobot</t>
  </si>
  <si>
    <t>Asr-1</t>
  </si>
  <si>
    <t>Asr-2</t>
  </si>
  <si>
    <t>Nilai Akhir</t>
  </si>
  <si>
    <t>Penjelasan/Dasar Penilaian yang Diperoleh dari Dokumen Borang, Wawancara, dan Observasi</t>
  </si>
  <si>
    <t>Standar 4. Sumber Daya Manusia</t>
  </si>
  <si>
    <t xml:space="preserve">           </t>
  </si>
  <si>
    <t xml:space="preserve"> </t>
  </si>
  <si>
    <t>Standar 3. Mahasiswa dan Lulusan</t>
  </si>
  <si>
    <t xml:space="preserve">NO. </t>
  </si>
  <si>
    <t>BUTIR</t>
  </si>
  <si>
    <t>Penilaian</t>
  </si>
  <si>
    <t>Nama Perguruan Tinggi:</t>
  </si>
  <si>
    <t>Nama Asesor:</t>
  </si>
  <si>
    <t>Kode Panel</t>
  </si>
  <si>
    <t>No.
Butir</t>
  </si>
  <si>
    <t xml:space="preserve">Nama Asesor </t>
  </si>
  <si>
    <t xml:space="preserve">Tanda Tangan </t>
  </si>
  <si>
    <t>Asr1</t>
  </si>
  <si>
    <t>Asr2</t>
  </si>
  <si>
    <t>Asr3</t>
  </si>
  <si>
    <t>Jumlah nilai</t>
  </si>
  <si>
    <t>SEL YANG DIISI HANYA YANG BERWARNA KUNING</t>
  </si>
  <si>
    <t>Rata-rata</t>
  </si>
  <si>
    <t>2.2.1</t>
  </si>
  <si>
    <t>2.2.2</t>
  </si>
  <si>
    <t>4.1</t>
  </si>
  <si>
    <t>Rancangan sistem pengelolaan sumber daya manusia dilaksanakan berdasarkan prinsip meritokrasi yang mencakup aspek:
(1) perencanaan, (2) rekrutmen dan seleksi, (3) orientasi dan penempatan pegawai, (4) pengembangan karir dan retensi, (5) remunerasi, penghargaan dan sanksi, dan (6) pensiun dan pemutusan kerja.</t>
  </si>
  <si>
    <t>Ketersediaan rancangan dokumen sistem pengelolaan sumber daya manusia yang hanya mencakup aspek perencanaan dan penempatan.</t>
  </si>
  <si>
    <t>Tidak tersedia rancangan dokumen sistem pengelolaan sumber daya manusia.</t>
  </si>
  <si>
    <t>Perencanaan pengembangan SDM dosen</t>
  </si>
  <si>
    <t>Tenaga Administrasi</t>
  </si>
  <si>
    <t>Universitas</t>
  </si>
  <si>
    <t>Institut</t>
  </si>
  <si>
    <t>Sekolah Tinggi</t>
  </si>
  <si>
    <t>Politeknik</t>
  </si>
  <si>
    <t>Akademi</t>
  </si>
  <si>
    <t>Tenaga Laboran/ Teknisi</t>
  </si>
  <si>
    <t>L = Luas lahan yang digunakan untuk menyelenggarakan pendidikan</t>
  </si>
  <si>
    <t>8.2.1</t>
  </si>
  <si>
    <t>8.2.2</t>
  </si>
  <si>
    <t>8.2.3</t>
  </si>
  <si>
    <t>L = Luas ruang administrasi dan kantor yang tersedia</t>
  </si>
  <si>
    <t>8.2.4</t>
  </si>
  <si>
    <t>8.2.5</t>
  </si>
  <si>
    <t>8.3.1</t>
  </si>
  <si>
    <t>8.3.2</t>
  </si>
  <si>
    <t>8.3.3</t>
  </si>
  <si>
    <t>8.4.1</t>
  </si>
  <si>
    <t>8.4.2</t>
  </si>
  <si>
    <t>Rencana induk pengembangan lahan dan prasarana pembelajaran (gedung pendidikan, penunjang dan fasilitas umum)</t>
  </si>
  <si>
    <t xml:space="preserve">Rencana induk meliputi pengembangan: (1) sarana pembelajaran, (2) sarana perkantoran, (3) sarana penunjang, (4) sarana umum, dan (5) koleksi pustaka yang sangat lengkap dan menjadi bagian terintegrasi dengan rencana induk pengembangan institusi serta menunjukkan rencana pentahapan yang sangat jelas dan realistik. </t>
  </si>
  <si>
    <t xml:space="preserve">Rencana induk meliputi pengembangan: (1) sarana pembelajaran, (2) sarana perkantoran, (3) sarana penunjang, (4) sarana umum, dan (5) koleksi pustaka yang lengkap dan menjadi bagian terintegrasi dengan rencana induk pengembangan institusi serta menunjukkan rencana pentahapan yang jelas dan realistik. </t>
  </si>
  <si>
    <t xml:space="preserve">Rencana induk meliputi pengembangan: (1) sarana pembelajaran, (2) sarana perkantoran, (3) sarana penunjang, (4) sarana umum, dan (5) koleksi pustaka yang cukup memadai dan menunjukkan rencana pentahapan yang jelas dan realistik. </t>
  </si>
  <si>
    <t>Rencana induk meliputi sebagian dari pengembangan: (1) sarana pembelajaran, (2) sarana perkantoran, (3) sarana penunjang, (4) sarana umum, dan (5) koleksi pustaka</t>
  </si>
  <si>
    <t>8.4.3</t>
  </si>
  <si>
    <t xml:space="preserve">Rencana induk meliputi pengembangan: (1) lahan, (2) gedung pendidikan, (3) gedung dan fasilitas penunjang, (4) fasilitas umum, yang lengkap dan menjadi bagian terintegrasi dengan rencana induk pengembangan institusi serta menunjukkan rencana pentahapan yang jelas dan realistik. </t>
  </si>
  <si>
    <t>Rencana induk meliputi pengembangan: (1) lahan, (2) gedung pendidikan, (3) gedung dan fasilitas  penunjang, (4) fasilitas umum, yang cukup memadai dan menunjukkan rencana pentahapan yang jelas dan realistik.</t>
  </si>
  <si>
    <t xml:space="preserve">Rencana induk meliputi pengembangan: (1) lahan, (2) gedung pendidikan, (3) gedung dan fasilitas penunjang, (4) fasilitas umum, yang sangat lengkap dan menjadi bagian terintegrasi dengan rencana induk pengembangan institusi serta menunjukkan rencana pentahapan yang sangat jelas dan realistik. </t>
  </si>
  <si>
    <t>Rencana induk meliputi sebagian dari pengembangan: (1) lahan, (2) gedung pendidikan, (3) gedung dan fasilitas penunjang, dan/atau (4) fasilitas umum.</t>
  </si>
  <si>
    <t>F1</t>
  </si>
  <si>
    <t>NO. BUTIR</t>
  </si>
  <si>
    <t>Skor x Bobot</t>
  </si>
  <si>
    <r>
      <t>P</t>
    </r>
    <r>
      <rPr>
        <vertAlign val="subscript"/>
        <sz val="11"/>
        <color theme="1"/>
        <rFont val="Calibri"/>
        <family val="2"/>
        <scheme val="minor"/>
      </rPr>
      <t>D</t>
    </r>
    <r>
      <rPr>
        <sz val="11"/>
        <color theme="1"/>
        <rFont val="Calibri"/>
        <family val="2"/>
        <scheme val="minor"/>
      </rPr>
      <t xml:space="preserve"> = N</t>
    </r>
    <r>
      <rPr>
        <vertAlign val="subscript"/>
        <sz val="11"/>
        <color theme="1"/>
        <rFont val="Calibri"/>
        <family val="2"/>
        <scheme val="minor"/>
      </rPr>
      <t>S3</t>
    </r>
    <r>
      <rPr>
        <sz val="11"/>
        <color theme="1"/>
        <rFont val="Calibri"/>
        <family val="2"/>
        <scheme val="minor"/>
      </rPr>
      <t xml:space="preserve"> / N</t>
    </r>
    <r>
      <rPr>
        <vertAlign val="subscript"/>
        <sz val="11"/>
        <color theme="1"/>
        <rFont val="Calibri"/>
        <family val="2"/>
        <scheme val="minor"/>
      </rPr>
      <t>DT</t>
    </r>
    <r>
      <rPr>
        <sz val="11"/>
        <color theme="1"/>
        <rFont val="Calibri"/>
        <family val="2"/>
        <scheme val="minor"/>
      </rPr>
      <t xml:space="preserve"> [%]</t>
    </r>
  </si>
  <si>
    <r>
      <t>N</t>
    </r>
    <r>
      <rPr>
        <vertAlign val="subscript"/>
        <sz val="11"/>
        <color theme="1"/>
        <rFont val="Calibri"/>
        <family val="2"/>
        <scheme val="minor"/>
      </rPr>
      <t>P</t>
    </r>
    <r>
      <rPr>
        <sz val="11"/>
        <color theme="1"/>
        <rFont val="Calibri"/>
        <family val="2"/>
        <scheme val="minor"/>
      </rPr>
      <t xml:space="preserve"> = (4 x A) + (3 x B)</t>
    </r>
  </si>
  <si>
    <r>
      <t>Rasio = L / L</t>
    </r>
    <r>
      <rPr>
        <vertAlign val="subscript"/>
        <sz val="11"/>
        <color theme="1"/>
        <rFont val="Calibri"/>
        <family val="2"/>
        <scheme val="minor"/>
      </rPr>
      <t>min</t>
    </r>
  </si>
  <si>
    <r>
      <t>Rasio = B / B</t>
    </r>
    <r>
      <rPr>
        <vertAlign val="subscript"/>
        <sz val="11"/>
        <color theme="1"/>
        <rFont val="Calibri"/>
        <family val="2"/>
        <scheme val="minor"/>
      </rPr>
      <t>min</t>
    </r>
  </si>
  <si>
    <r>
      <t>Rasio = J / J</t>
    </r>
    <r>
      <rPr>
        <vertAlign val="subscript"/>
        <sz val="11"/>
        <color theme="1"/>
        <rFont val="Calibri"/>
        <family val="2"/>
        <scheme val="minor"/>
      </rPr>
      <t>min</t>
    </r>
  </si>
  <si>
    <r>
      <t>PD</t>
    </r>
    <r>
      <rPr>
        <vertAlign val="subscript"/>
        <sz val="11"/>
        <color theme="1"/>
        <rFont val="Calibri"/>
        <family val="2"/>
        <scheme val="minor"/>
      </rPr>
      <t>MHS</t>
    </r>
    <r>
      <rPr>
        <sz val="11"/>
        <color theme="1"/>
        <rFont val="Calibri"/>
        <family val="2"/>
        <scheme val="minor"/>
      </rPr>
      <t xml:space="preserve"> = Persentase dana perguruan tinggi yang berasal dari mahasiswa (SPP dan dana lainnya)</t>
    </r>
  </si>
  <si>
    <t>ASESMEN KECUKUPAN</t>
  </si>
  <si>
    <t>ASESMEN LAPANGAN</t>
  </si>
  <si>
    <t xml:space="preserve">:   </t>
  </si>
  <si>
    <t>AKREDITASI INSTITUSI PERGURUAN TINGGI BARU</t>
  </si>
  <si>
    <t>Nama Asesor</t>
  </si>
  <si>
    <t>Kota Penilaian</t>
  </si>
  <si>
    <t>(Penilaian Perorangan)</t>
  </si>
  <si>
    <t>(Penilaian Tim)</t>
  </si>
  <si>
    <t>Nama Asesor 1</t>
  </si>
  <si>
    <t>Nama Asesor 2</t>
  </si>
  <si>
    <t>Nama Asesor 3</t>
  </si>
  <si>
    <t>ttd</t>
  </si>
  <si>
    <t>Penilaian Perorangan</t>
  </si>
  <si>
    <t>Penilaian Tim</t>
  </si>
  <si>
    <t>Asesor</t>
  </si>
  <si>
    <t>Standar 1. Visi dan Misi</t>
  </si>
  <si>
    <t>Standar 2. Tata Kelola</t>
  </si>
  <si>
    <t>Standar 5. Pembelajaran dan Suasana Akademik</t>
  </si>
  <si>
    <t>Standar 6. Penelitian</t>
  </si>
  <si>
    <t>Standar 7. Pengabdian kepada Masyarakat</t>
  </si>
  <si>
    <t>Standar 8. Prasarana dan Sarana</t>
  </si>
  <si>
    <t>Standar 9. Keuangan</t>
  </si>
  <si>
    <t>FORMAT 6. REKOMENDASI PENDIRIAN PERGURUAN TINGGI BARU</t>
  </si>
  <si>
    <t>Rekomendasi Pendirian</t>
  </si>
  <si>
    <t>FORMAT 4. PENILAIAN AKHIR AKREDITASI INSTITUSI  PERGURUAN TINGGI BARU</t>
  </si>
  <si>
    <t>Berdasarkan penilaian yang dilakukan pada kegiatan asesmen kecukupan dan asesmen lapangan, disampaikan penilaian akhir akreditasi institusi perguruan tinggi baru yang disajikan pada tabel berikut.</t>
  </si>
  <si>
    <t>orang</t>
  </si>
  <si>
    <r>
      <t>m</t>
    </r>
    <r>
      <rPr>
        <vertAlign val="superscript"/>
        <sz val="11"/>
        <color theme="1"/>
        <rFont val="Calibri"/>
        <family val="2"/>
        <scheme val="minor"/>
      </rPr>
      <t>2</t>
    </r>
  </si>
  <si>
    <t>judul</t>
  </si>
  <si>
    <t>juta Rp.</t>
  </si>
  <si>
    <t>1.1 Visi, Misi, Tujuan dan Sasaran</t>
  </si>
  <si>
    <t>1.2 Tonggak Capaian Tujuan</t>
  </si>
  <si>
    <t>4.1 Rancangan Sistem Pengelolaan Sumber Daya Manusia</t>
  </si>
  <si>
    <t>8.2.1 Luas Ruang Kuliah</t>
  </si>
  <si>
    <t>Kode Panel:</t>
  </si>
  <si>
    <t>Tanggal Penilaian:</t>
  </si>
  <si>
    <t>2.2.1 Rancangan Tata Pamong</t>
  </si>
  <si>
    <t>2.1.2 SK Pengesahan Badan Penyelenggara</t>
  </si>
  <si>
    <t>2.1.1 Akta Notaris Pendirian Badan Hukum Penyelenggara</t>
  </si>
  <si>
    <t>2.2.2 Rancangan Struktur Organisasi dan OTK</t>
  </si>
  <si>
    <t>2.3.1 Rancangan Dokumen Sistem Pengelolaan</t>
  </si>
  <si>
    <t>2.3.2 Rancangan Diseminasi/ Laporan Hasil Kerja</t>
  </si>
  <si>
    <t>3.1 Sistem Seleksi dan Rekrutmen Mahasiswa Baru</t>
  </si>
  <si>
    <t>3.2 Kebijakan Afirmasi Penerimaan Mahasiswa Baru</t>
  </si>
  <si>
    <t>4.3 Rencana Pengembangan Dosen</t>
  </si>
  <si>
    <t>5.2 Kebijakan Pengembangan Kurikulum</t>
  </si>
  <si>
    <t>5.3 Kebijakan Pengembangan Suasana Akademik</t>
  </si>
  <si>
    <t>5.1 Pedoman Akademik</t>
  </si>
  <si>
    <t>6.1.1 Kebijakan Penelitian</t>
  </si>
  <si>
    <t>7.1.1 Kebijakan PkM</t>
  </si>
  <si>
    <t>2.5 Rancangan Sistem Penjaminan Mutu</t>
  </si>
  <si>
    <t>2.6 Kebijakan Kerjasama Perguruan Tinggi</t>
  </si>
  <si>
    <t>8.4.3 Rencana Pengembangan Sarana Pembelajaran</t>
  </si>
  <si>
    <t>8.4.1 Kebijakan Pengelolaan Sarana dan Prasarana</t>
  </si>
  <si>
    <t xml:space="preserve">8.4.2 Rencana Pemanfaatan Lahan dan Pengembangan Prasarana  </t>
  </si>
  <si>
    <t>9.1.2 Laporan Keuangan Badan Penyelenggara</t>
  </si>
  <si>
    <t>9.1.1 Kepemilikan Dana Badan Penyelenggara</t>
  </si>
  <si>
    <t>9.2.1 Kebijakan Pengelolaan Dana</t>
  </si>
  <si>
    <t>Deskriptor</t>
  </si>
  <si>
    <t>2.4.1.2 Jumlah Program Studi berdasarkan Kelompok Bidang Ilmu</t>
  </si>
  <si>
    <t>2.4.1.3 Rasio Program Diploma terhadap Program Sarjana pada Universitas, Institut dan Sekolah Tinggi</t>
  </si>
  <si>
    <t>8.1.1 Luas Lahan Kampus Minimal</t>
  </si>
  <si>
    <t>8.1.2 Luas Lahan Kampus</t>
  </si>
  <si>
    <t>8.1.3 Status Kepemilikan Lahan</t>
  </si>
  <si>
    <t>8.3.1 Koleksi Buku Minimal</t>
  </si>
  <si>
    <t xml:space="preserve">8.3.2 Koleksi Buku </t>
  </si>
  <si>
    <t>8.3.3 Koleksi atau Akses Jurnal Minimal</t>
  </si>
  <si>
    <t>8.3.4 Koleksi atau Akses Jurnal</t>
  </si>
  <si>
    <t>8.3.5 Sarana Penunjang</t>
  </si>
  <si>
    <t>8.2.2 Luas Ruang Dosen</t>
  </si>
  <si>
    <t>8.2.3 Luas Ruang Administrasi dan Kantor</t>
  </si>
  <si>
    <t>4.4.2 Tenaga Administrasi</t>
  </si>
  <si>
    <t>4.4.3 Tenaga Laboran dan Teknisi</t>
  </si>
  <si>
    <t>2.3.1</t>
  </si>
  <si>
    <t>2.3.2</t>
  </si>
  <si>
    <t>2.4.1.1</t>
  </si>
  <si>
    <t>2.4.1.2</t>
  </si>
  <si>
    <t>2.4.1.3</t>
  </si>
  <si>
    <t>4.2.1</t>
  </si>
  <si>
    <t>4.2.2</t>
  </si>
  <si>
    <t>Bentuk Perguruan Tinggi</t>
  </si>
  <si>
    <t>4.4.1</t>
  </si>
  <si>
    <t>4.4.2</t>
  </si>
  <si>
    <t>4.4.3</t>
  </si>
  <si>
    <t>4.4.4</t>
  </si>
  <si>
    <t>8.1.1</t>
  </si>
  <si>
    <t>8.1.2</t>
  </si>
  <si>
    <t>8.1.3</t>
  </si>
  <si>
    <t>Status Kepemilikan Lahan</t>
  </si>
  <si>
    <t>8.3.4</t>
  </si>
  <si>
    <t>8.3.5</t>
  </si>
  <si>
    <t>9.1.1</t>
  </si>
  <si>
    <t>Laporan keuangan badan penyelenggara</t>
  </si>
  <si>
    <t>9.1.2</t>
  </si>
  <si>
    <t>9.2.1</t>
  </si>
  <si>
    <t>Pimpinan Badan Penyelenggara</t>
  </si>
  <si>
    <t>FORMAT 3. BERITA ACARA ASESMEN LAPANGAN AKREDITASI INSTITUSI PERGURUAN TINGGI BARU</t>
  </si>
  <si>
    <t>Kejelasan,  kerealistikan, dan keterkaitan antar visi, misi, tujuan dan sasaran perguruan tinggi yang akan didirikan, dan pemangku kepentingan yang terlibat.</t>
  </si>
  <si>
    <t>Ya</t>
  </si>
  <si>
    <t>Tidak</t>
  </si>
  <si>
    <t>Pilih "Tidak" jika dokumen tidak memenuhi persyaratan</t>
  </si>
  <si>
    <t>Pilih "Ya" jika dokumen memenuhi persyaratan</t>
  </si>
  <si>
    <t>Rasio</t>
  </si>
  <si>
    <r>
      <t>L</t>
    </r>
    <r>
      <rPr>
        <vertAlign val="subscript"/>
        <sz val="11"/>
        <color indexed="8"/>
        <rFont val="Calibri"/>
        <family val="2"/>
        <scheme val="minor"/>
      </rPr>
      <t>min</t>
    </r>
    <r>
      <rPr>
        <sz val="11"/>
        <color indexed="8"/>
        <rFont val="Calibri"/>
        <family val="2"/>
        <scheme val="minor"/>
      </rPr>
      <t xml:space="preserve"> = 10.000 m2 untuk Universitas, 8.000 m2 untuk Institut, 5.000 m2 untuk Sekolah Tinggi/ Politeknik/ Akademi</t>
    </r>
  </si>
  <si>
    <t>Luas lahan kampus minimal</t>
  </si>
  <si>
    <t>8.2.4 Luas Ruang Perpustakaan</t>
  </si>
  <si>
    <t>Luas ruang kuliah</t>
  </si>
  <si>
    <t>Luas ruang kerja dosen tetap</t>
  </si>
  <si>
    <t>8.2.5 Ruang Laboratorium</t>
  </si>
  <si>
    <t>Luas lahan kampus</t>
  </si>
  <si>
    <r>
      <t>Rasio = N / N</t>
    </r>
    <r>
      <rPr>
        <vertAlign val="subscript"/>
        <sz val="11"/>
        <color theme="1"/>
        <rFont val="Calibri"/>
        <family val="2"/>
        <scheme val="minor"/>
      </rPr>
      <t>PS</t>
    </r>
  </si>
  <si>
    <r>
      <t>B</t>
    </r>
    <r>
      <rPr>
        <vertAlign val="subscript"/>
        <sz val="11"/>
        <color theme="1"/>
        <rFont val="Calibri"/>
        <family val="2"/>
        <scheme val="minor"/>
      </rPr>
      <t>min</t>
    </r>
    <r>
      <rPr>
        <sz val="11"/>
        <color theme="1"/>
        <rFont val="Calibri"/>
        <family val="2"/>
        <scheme val="minor"/>
      </rPr>
      <t xml:space="preserve"> = 200 x N</t>
    </r>
    <r>
      <rPr>
        <vertAlign val="subscript"/>
        <sz val="11"/>
        <color theme="1"/>
        <rFont val="Calibri"/>
        <family val="2"/>
        <scheme val="minor"/>
      </rPr>
      <t>PS</t>
    </r>
  </si>
  <si>
    <t>PS</t>
  </si>
  <si>
    <t>Koleksi atau Akses Jurnal (Terakreditasi)</t>
  </si>
  <si>
    <r>
      <t>J</t>
    </r>
    <r>
      <rPr>
        <vertAlign val="subscript"/>
        <sz val="11"/>
        <color theme="1"/>
        <rFont val="Calibri"/>
        <family val="2"/>
        <scheme val="minor"/>
      </rPr>
      <t>min</t>
    </r>
    <r>
      <rPr>
        <sz val="11"/>
        <color theme="1"/>
        <rFont val="Calibri"/>
        <family val="2"/>
        <scheme val="minor"/>
      </rPr>
      <t xml:space="preserve"> = 1 x N</t>
    </r>
    <r>
      <rPr>
        <vertAlign val="subscript"/>
        <sz val="11"/>
        <color theme="1"/>
        <rFont val="Calibri"/>
        <family val="2"/>
        <scheme val="minor"/>
      </rPr>
      <t>PS</t>
    </r>
  </si>
  <si>
    <t xml:space="preserve">Kepemilikan dana badan penyelenggara. </t>
  </si>
  <si>
    <t>Badan penyelenggara menunjukkan komitmen untuk sanggup menyediakan sejumlah dana investasi dan dana operasional untuk perguruan tinggi yang akan didirikan. Komitmen didukung dengan adanya surat pernyataan yang telah ditandatangani oleh semua anggota badan penyelenggara, dengan lampiran tambahan: a) salinan rekening koran, b) salinan tabungan, c) salinan sertifikat deposito, dan d) salinan surat berharga lainnya, yang tercatat atas nama badan penyelenggara, dalam jumlah yang mencukupi kekurangan dana untuk operasional dan investasi penyelenggaraan perguruan tinggi sesuai dengan komitmen subsidi badan penyelenggara pada proyeksi arus kas.
Catatan:
Jika badan penyelenggara memperoleh hibah, maka badan penyelenggara perlu melampirkan salinan akta hibah atas dana tersebut sebagai bagian dari bukti kepemilikan dana</t>
  </si>
  <si>
    <t>Jumlah tenaga kependidikan minimal</t>
  </si>
  <si>
    <t>4.4.1 Jumlah Tenaga Kependidikan Minimal</t>
  </si>
  <si>
    <t>Tenaga Perpustakaan</t>
  </si>
  <si>
    <t>Perguruan tinggi memiliki rencana penggunaan dana yang realistik untuk penyelenggaraan proses pembelajaran seluruh program studi dan rencana investasi yang memadai selama 3 tahun ke depan.</t>
  </si>
  <si>
    <t>Perguruan tinggi memiliki rencana penggunaan dana yang realistik untuk penyelenggaraan proses pembelajaran seluruh program studi selama 3 tahun ke depan.</t>
  </si>
  <si>
    <t>Perguruan tinggi memiliki rencana penggunaan dana selama 3 tahun ke depan, namun tidak realistik untuk dapat memenuhi kebutuhan dana penyelenggaraan proses pembelajaran seluruh program studi.</t>
  </si>
  <si>
    <t>Perguruan tinggi tidak memiliki rencana penggunaan dana selama 3 tahun ke depan.</t>
  </si>
  <si>
    <t xml:space="preserve">Perguruan tinggi memiliki rencana penggunaan dana yang realistik untuk penyelenggaraan proses pembelajaran, penelitian dan PkM seluruh program studi dan rencana investasi yang memadai selama minimal 3 tahun ke depan. </t>
  </si>
  <si>
    <t>4.2.3 Kualifikasi Dosen</t>
  </si>
  <si>
    <t>4.2.3</t>
  </si>
  <si>
    <t>4.2.1 Jumlah Dosen Tetap Minimal</t>
  </si>
  <si>
    <t>4.2.2 Jumlah Dosen Tetap</t>
  </si>
  <si>
    <r>
      <t>Rasio = N</t>
    </r>
    <r>
      <rPr>
        <vertAlign val="subscript"/>
        <sz val="11"/>
        <color indexed="8"/>
        <rFont val="Calibri"/>
        <family val="2"/>
        <scheme val="minor"/>
      </rPr>
      <t>DT</t>
    </r>
    <r>
      <rPr>
        <sz val="11"/>
        <color indexed="8"/>
        <rFont val="Calibri"/>
        <family val="2"/>
        <scheme val="minor"/>
      </rPr>
      <t xml:space="preserve"> / (6 x N</t>
    </r>
    <r>
      <rPr>
        <vertAlign val="subscript"/>
        <sz val="11"/>
        <color indexed="8"/>
        <rFont val="Calibri"/>
        <family val="2"/>
        <scheme val="minor"/>
      </rPr>
      <t>PS</t>
    </r>
    <r>
      <rPr>
        <sz val="11"/>
        <color indexed="8"/>
        <rFont val="Calibri"/>
        <family val="2"/>
        <scheme val="minor"/>
      </rPr>
      <t>)</t>
    </r>
  </si>
  <si>
    <t>4.4.4 Tenaga Perpustakaan</t>
  </si>
  <si>
    <t>REKAPITULASI NILAI ASESMEN KECUKUPAN</t>
  </si>
  <si>
    <t>2.4.1.1 Jumlah Program Studi</t>
  </si>
  <si>
    <t>No. Butir</t>
  </si>
  <si>
    <t>V</t>
  </si>
  <si>
    <t>X</t>
  </si>
  <si>
    <t>Penilaian Mutlak</t>
  </si>
  <si>
    <t>Penilaian Kelayakan dan Mutu</t>
  </si>
  <si>
    <t>Status Akreditasi</t>
  </si>
  <si>
    <t xml:space="preserve"> Pengesahan</t>
  </si>
  <si>
    <t>9.2.2.1</t>
  </si>
  <si>
    <t>9.2.2.2</t>
  </si>
  <si>
    <t>9.2.2.1 Rencana Penerimaan Dana</t>
  </si>
  <si>
    <t>9.2.2.2 Rencana Penggunaan Dana</t>
  </si>
  <si>
    <t>INSTRUMEN AKREDITASI INSTITUSI PERGURUAN TINGGI BARU</t>
  </si>
  <si>
    <t>Skor kerealistikan (0 - 4)</t>
  </si>
  <si>
    <t>Skor keterkaitan (0 - 4)</t>
  </si>
  <si>
    <t>Skor keterlibatan pemangku kepentingan (0 - 4)</t>
  </si>
  <si>
    <t>Skor rumusan tujuan yang akan dicapai (0 - 4)</t>
  </si>
  <si>
    <t>Skor tonggak-tonggak pencapaian (0 - 4)</t>
  </si>
  <si>
    <t>Skor kejelasan (0 - 4)</t>
  </si>
  <si>
    <t>Perguruan tinggi yang akan didirikan menetapkan rancangan tonggak-tonggak capaian tujuan dengan rentang waktu 5 atau 10 tahun ke depan.</t>
  </si>
  <si>
    <t>Memenuhi lima pilar: kredibel, transparan, akuntabel, bertanggung jawab, dan adil.</t>
  </si>
  <si>
    <t>Memenuhi empat dari lima pilar:  kredibel, transparan, akuntabel, bertanggung jawab, dan adil.</t>
  </si>
  <si>
    <t>Memenuhi tiga dari lima pilar:  kredibel, transparan, akuntabel, bertanggung jawab, dan adil.</t>
  </si>
  <si>
    <t>Memenuhi satu atau dua dari lima pilar:  kredibel, transparan, akuntabel, bertanggung jawab, dan adil.</t>
  </si>
  <si>
    <t>PT tidak memenuhi rancangan tata pamong.</t>
  </si>
  <si>
    <t>Perguruan tinggi memiliki rancangan dokumen sistem pengelolaan yang mencakup analisis jabatan, uraian tugas, prosedur kerja, serta program pengembangan kompetensi manajerial yang secara keseluruhan akan menjamin terjadinya proses pengelolaan yang efektif dan efisien di setiap unit kerja.</t>
  </si>
  <si>
    <t>Perguruan tinggi memiliki rancangan dokumen sistem pengelolaan yang mencakup: (1) analisis jabatan, (2) uraian tugas, dan (3) prosedur kerja, yang dapat menjamin keefektifan dan efisiensi manajemen operasional di setiap unit kerja. Selain itu Perguruan tinggi memiliki rencana pengembangan kompetensi manajerial dalam jangka panjang.</t>
  </si>
  <si>
    <t>Perguruan tinggi memiliki rancangan dokumen sistem pengelolaan yang mencakup: (1) analisis jabatan, (2) uraian tugas, dan (3) prosedur kerja, yang menggambarkan keefektifan dan efisiensi manajemen operasional di setiap unit kerja.</t>
  </si>
  <si>
    <t>Perguruan tinggi memiliki rancangan dokumen sistem pengelolaan yang mencakup: (1) analisis jabatan, (2) uraian tugas, dan (3) prosedur kerja, yang menggambarkan keefektifan manajemen operasional di setiap unit kerja.</t>
  </si>
  <si>
    <t>Perguruan tinggi memiliki rancangan dokumen sistem pengelolaan yang hanya mencakup: (1) uraian tugas, dan (2) prosedur kerja.</t>
  </si>
  <si>
    <t xml:space="preserve">Perguruan tinggi tidak memenuhi rancangan dokumen sistem pengelolaan. </t>
  </si>
  <si>
    <t>Universitas, Institut dan Sekolah Tinggi: mengusulkan sejumlah program studi dengan rasio jumlah program diploma terhadap program sarjana maksimum 10%.</t>
  </si>
  <si>
    <t>Rancangan dokumen memenuhi keenam elemen sistem.</t>
  </si>
  <si>
    <t>Rancangan dokumen memenuhi 3 elemen sistem.</t>
  </si>
  <si>
    <t>Perguruan tinggi tidak memiliki rancangan dokumen penjaminan mutu.</t>
  </si>
  <si>
    <t>Rancangan dokumen memenuhi 4 s.d. 5 elemen sistem.</t>
  </si>
  <si>
    <t>Rancangan dokumen memenuhi 1 s.d. 2 elemen sistem.</t>
  </si>
  <si>
    <t xml:space="preserve">Perguruan Tinggi memiliki rancangan dokumen penjaminan mutu yang terdiri dari: (1) rancangan dokumen kebijakan mutu, (2) rancangan dokumen manual mutu, (3) rancangan dokumen standar, dan (4) rancangan dokumen formulir, yang isinya mencakup keberadaan 6 elemen sistem penjaminan mutu sebagai berikut: (1) kebijakan dan standar, (2) organisasi, (3) instrumen (manual mutu, manual prosedur, instruksi kerja), (4) implementasi, (5) monitoring dan evaluasi, dan (6) pelaporan dan tindak lanjut. </t>
  </si>
  <si>
    <t>Perguruan tinggi tidak memiliki kebijakan dan pedoman kerjasama.</t>
  </si>
  <si>
    <t>Perguruan tinggi tidak memiliki pedoman seleksi dan rekrutmen mahasiswa baru.</t>
  </si>
  <si>
    <t>Perguruan tinggi memiliki pedoman seleksi dan rekrutmen mahasiswa baru yang memuat 3 dari 4 unsur.</t>
  </si>
  <si>
    <t>Perguruan tinggi memiliki pedoman seleksi dan rekrutmen mahasiswa baru yang memuat 2 dari 4 unsur.</t>
  </si>
  <si>
    <t>Perguruan tinggi memiliki pedoman seleksi dan rekrutmen mahasiswa baru yang memuat 1 dari 4 unsur.</t>
  </si>
  <si>
    <t>Perguruan tinggi tidak memiliki kebijakan penerimaan mahasiswa baru yang memberikan peluang kepada calon mahasiswa yang memiliki potensi akademik baik namun tidak mampu secara ekonomi dan/atau cacat fisik.</t>
  </si>
  <si>
    <t>Perguruan tinggi memiliki kebijakan penerimaan mahasiswa baru yang memberikan peluang kepada calon mahasiswa yang memiliki potensi akademik baik namun kurang mampu secara ekonomi dan/atau cacat fisik yang ditunjang oleh rencana penyediaan fasilitas penunjang.</t>
  </si>
  <si>
    <t>Perguruan tinggi memiliki kebijakan penerimaan mahasiswa baru yang memberikan peluang kepada calon mahasiswa yang memiliki potensi akademik baik namun tidak mampu secara ekonomi dan/atau cacat fisik yang ditunjang oleh rencana penyediaan fasilitas penunjang yang sangat lengkap.</t>
  </si>
  <si>
    <t>Perguruan tinggi memiliki kebijakan penerimaan mahasiswa baru yang memberikan peluang kepada calon mahasiswa yang memiliki potensi akademik baik namun tidak mampu secara ekonomi dan/atau cacat fisik yang ditunjang oleh rencana penyediaan fasilitas penunjang yang lengkap.</t>
  </si>
  <si>
    <t>Perguruan tinggi memiliki kebijakan penerimaan mahasiswa baru yang memberikan peluang kepada calon mahasiswa yang memiliki potensi akademik baik namun tidak mampu secara ekonomi dan/atau cacat fisik yang ditunjang oleh adanya rencana penyediaan fasilitas penunjang.</t>
  </si>
  <si>
    <t>Perguruan tinggi memiliki kebijakan penerimaan mahasiswa baru yang memberikan peluang kepada calon mahasiswa yang memiliki potensi akademik baik namun tidak mampu secara ekonomi dan/atau cacat fisik, tetapi tidak ditunjang oleh adanya rencana penyediaan fasilitas penunjang.</t>
  </si>
  <si>
    <t>Jumlah calon dosen tetap minimal</t>
  </si>
  <si>
    <t>Jumlah calon dosen tetap</t>
  </si>
  <si>
    <t>Tidak ada rencana pengembangan SDM dosen.</t>
  </si>
  <si>
    <t>B = Jumlah tenaga administrasi berkualifikasi D-3</t>
  </si>
  <si>
    <t>B = Jumlah tenaga perpustakaan berkualifikasi D-3</t>
  </si>
  <si>
    <t>Perguruan tinggi memiliki peraturan yang mengatur tentang suasana akademik, yang mencakup unsur: (1) kebebasan akademik, (2) kebebasan mimbar akademik, dan (3) otonomi keilmuan.</t>
  </si>
  <si>
    <t>Perguruan tinggi tidak memiliki peraturan tentang suasana akademik.</t>
  </si>
  <si>
    <t>Perguruan tinggi memiliki kebijakan dan pedoman penelitian yang mencakup &lt; 8 elemen standar penelitian.</t>
  </si>
  <si>
    <t>Perguruan tinggi memiliki kebijakan penelitian yang mencakup semua elemen standar penelitian yang dirumuskan secara lengkap dengan substansi sangat baik.</t>
  </si>
  <si>
    <t>Perguruan tinggi memiliki kebijakan penelitian yang mencakup semua elemen standar penelitian yang dirumuskan secara lengkap dengan substansi baik.</t>
  </si>
  <si>
    <t>Perguruan tinggi memiliki kebijakan penelitian yang mencakup 8 elemen standar penelitian.</t>
  </si>
  <si>
    <t>Perguruan tinggi memiliki kebijakan PkM yang mencakup semua elemen standar PkM yang dirumuskan secara lengkap dengan substansi baik.</t>
  </si>
  <si>
    <t>Perguruan tinggi memiliki kebijakan PkM yang mencakup semua elemen standar PkM yang dirumuskan secara lengkap dengan substansi sangat baik.</t>
  </si>
  <si>
    <t>Perguruan tinggi memiliki kebijakan PkM yang mencakup 8 elemen standar PkM.</t>
  </si>
  <si>
    <t>Tidak ada kebijakan penelitian.</t>
  </si>
  <si>
    <t>Perguruan tinggi memiliki kebijakan PkM yang mencakup &lt; 8 elemen standar PkM.</t>
  </si>
  <si>
    <t>Tidak ada kebijakan PkM.</t>
  </si>
  <si>
    <t>L = Luas ruang perpustakaan yang tersedia.</t>
  </si>
  <si>
    <r>
      <t>L</t>
    </r>
    <r>
      <rPr>
        <vertAlign val="subscript"/>
        <sz val="11"/>
        <color indexed="8"/>
        <rFont val="Calibri"/>
        <family val="2"/>
        <scheme val="minor"/>
      </rPr>
      <t>min</t>
    </r>
    <r>
      <rPr>
        <sz val="11"/>
        <color indexed="8"/>
        <rFont val="Calibri"/>
        <family val="2"/>
        <scheme val="minor"/>
      </rPr>
      <t xml:space="preserve"> = Luas ruang perpustakaan minimal untuk Universitas = 600 m2, Institut  = 450 m2, Sekolah Tinggi = 300 m2, Politeknik =  300 m2, Akademi = 150 m2.</t>
    </r>
  </si>
  <si>
    <t>Pilih "Ya" jika dokumen memenuhi persyaratan.</t>
  </si>
  <si>
    <t>Pilih "Tidak" jika dokumen tidak memenuhi persyaratan.</t>
  </si>
  <si>
    <t>L = Luas ruang kuliah yang tersedia.</t>
  </si>
  <si>
    <t>Lmin = Luas ruang kuliah minimal untuk Universitas = 1.000 m2, Institut  = 600 m2, Sekolah Tinggi =  200 m2, Politeknik =  300 m2, Akademi = 100 m2.</t>
  </si>
  <si>
    <t>Lmin = Luas ruang kerja dosen minimal untuk Universitas = 300 m2, Institut  = 180 m2, Sekolah Tinggi =  60 m2, Politeknik =  90 m2, Akademi = 30 m2.</t>
  </si>
  <si>
    <t>L = Luas ruang kerja dosen tetap yang tersedia.</t>
  </si>
  <si>
    <t>Luas ruang administrasi dan kantor.</t>
  </si>
  <si>
    <t>Lmin = Luas ruang administrasi dan kantor minimal untuk Universitas = 80 m2, Institut  = 60 m2, Sekolah Tinggi =  30 m2, Politeknik =  40 m2, Akademi = 30 m2.</t>
  </si>
  <si>
    <t>Luas ruang perpustakaan.</t>
  </si>
  <si>
    <t>Koleksi buku minimal.</t>
  </si>
  <si>
    <r>
      <t>Rasio = N / N</t>
    </r>
    <r>
      <rPr>
        <vertAlign val="subscript"/>
        <sz val="11"/>
        <color theme="1"/>
        <rFont val="Calibri"/>
        <family val="2"/>
        <scheme val="minor"/>
      </rPr>
      <t>PS.</t>
    </r>
  </si>
  <si>
    <r>
      <t xml:space="preserve">N = Jumlah program studi yang memiliki koleksi buku </t>
    </r>
    <r>
      <rPr>
        <sz val="11"/>
        <color theme="1"/>
        <rFont val="Calibri"/>
        <family val="2"/>
      </rPr>
      <t>≥ 200 judul.</t>
    </r>
  </si>
  <si>
    <t>Koleksi buku.</t>
  </si>
  <si>
    <t>B = Jumlah buku yang tersedia.</t>
  </si>
  <si>
    <t>Koleksi atau Akses Jurnal (Terakreditasi) Minimal.</t>
  </si>
  <si>
    <t>N = Jumlah program studi yang memiliki koleksi atau akses terhadap jurnal dengan koleksi lengkap.</t>
  </si>
  <si>
    <t>J = Jumlah judul atau akses jurnal dengan volume lengkap yang tersedia.</t>
  </si>
  <si>
    <t>Perguruan tinggi memiliki rancangan sistem pengelolaan sarana dan prasarana, yang meliputi aspek: (1) pencatatan, (2) penggunaan (termasuk petunjuk keselamatan dan keamanan pemakaian), (3) pemeliharaan, dan (4) penghapusan.</t>
  </si>
  <si>
    <t xml:space="preserve">Perguruan tinggi memiliki kebijakan yang berkaitan dengan standar penelitian, yang mencakup: (1) hasil penelitian; (2) isi penelitian; (3) proses penelitian; (4) penilaian penelitian; (5) peneliti; (6) sarana dan prasarana penelitian; (7) pengelolaan penelitian; dan (8) pendanaan dan pembiayaan penelitian. </t>
  </si>
  <si>
    <t>Perguruan tinggi memiliki kebijakan PkM yang berkaitan dengan standar pengabdian kepada masyarakat, yang mencakup: (1) hasil PkM; (2) isi PkM; (3) proses PkM; (4) penilaian PkM; (5) pelaksana PkM; (6) sarana dan prasarana PkM; (7) pengelolaan PkM; dan (8) pendanaan dan pembiayaan PkM.</t>
  </si>
  <si>
    <t>Perguruan tinggi memiliki sistem pengelolaan sarana dan prasarana yang lengkap mencakup keempat aspek pengelolaan.</t>
  </si>
  <si>
    <t>Perguruan tinggi memiliki sistem pengelolaan sarana dan prasarana yang tidak lengkap (mencakup kurang dari 4 aspek pengelolaan).</t>
  </si>
  <si>
    <t>Sarana tersedia lengkap dengan kuantitas dan kualitas yang baik untuk penyelenggaraan kegiatan pembelajaran .</t>
  </si>
  <si>
    <t>Sarana terbatas dengan kualitas yang kurang memadai untuk penyelenggaraan kegiatan pembelajaran.</t>
  </si>
  <si>
    <t>Sarana tersedia lengkap dengan kuantitas dan kualitas yang  baik untuk penyelenggaraan kegiatan pembelajaran dan kegiatan penunjang pembelajaran.</t>
  </si>
  <si>
    <t>Sarana tersedia sangat lengkap dengan kuantitas dan kualitas yang sangat baik untuk penyelenggaraan kegiatan pembelajaran dan kegiatan penunjang pembelajaran.</t>
  </si>
  <si>
    <t>Rencana induk pengembangan sarana pembelajaran (peralatan laboratorium/studio/bengkel, mebeler, komputer, termasuk koleksi pustaka).</t>
  </si>
  <si>
    <t>Rencana penggunaan dana.</t>
  </si>
  <si>
    <r>
      <t>D</t>
    </r>
    <r>
      <rPr>
        <vertAlign val="subscript"/>
        <sz val="11"/>
        <color theme="1"/>
        <rFont val="Calibri"/>
        <family val="2"/>
        <scheme val="minor"/>
      </rPr>
      <t>M</t>
    </r>
    <r>
      <rPr>
        <sz val="11"/>
        <color theme="1"/>
        <rFont val="Calibri"/>
        <family val="2"/>
        <scheme val="minor"/>
      </rPr>
      <t xml:space="preserve"> = Jumlah dana yang berasal dari mahasiswa.</t>
    </r>
  </si>
  <si>
    <r>
      <t>D</t>
    </r>
    <r>
      <rPr>
        <vertAlign val="subscript"/>
        <sz val="11"/>
        <color theme="1"/>
        <rFont val="Calibri"/>
        <family val="2"/>
        <scheme val="minor"/>
      </rPr>
      <t>T</t>
    </r>
    <r>
      <rPr>
        <sz val="11"/>
        <color theme="1"/>
        <rFont val="Calibri"/>
        <family val="2"/>
        <scheme val="minor"/>
      </rPr>
      <t xml:space="preserve"> = Jumlah dana total.</t>
    </r>
  </si>
  <si>
    <t>Rencana penerimaan dana yang bersumber dari mahasiswa (SPP dan dana lainnya).</t>
  </si>
  <si>
    <t>Perguruan tinggi memiliki kebijakan yang mencakup keenam aspek pengelolaan serta memiliki mekanisme yang sangat jelas mengenai keterlibatan seluruh unit kerja dalam pengelolaan dana institusi.</t>
  </si>
  <si>
    <t>Perguruan tinggi memiliki kebijakan yang mencakup 5 aspek pengelolaan serta memiliki mekanisme yang jelas mengenai keterlibatan seluruh unit kerja dalam pengelolaan dana institusi.</t>
  </si>
  <si>
    <t>Perguruan tinggi memiliki kebijakan yang mencakup 3 s.d. 4 aspek pengelolaan serta memiliki mekanisme yang mengatur keterlibatan unit kerja tertentu dalam pengelolaan dana institusi.</t>
  </si>
  <si>
    <t>Perguruan tinggi memiliki kebijakan yang mencakup kurang dari 4 aspek pengelolaan serta tidak memiliki mekanisme yang mengatur keterlibatan unit kerja dalam pengelolaan dana institusi.</t>
  </si>
  <si>
    <t>Tidak ada kebijakan pengelolaan dana.</t>
  </si>
  <si>
    <t>Badan penyelenggara (yayasan, persyarikatan, perkumpulan, paguyuban, ormas) memiliki akta notaris tentang pendirian atau perubahan badan penyelenggara tersebut. Persyaratan akta notaris untuk pendirian atau perubahan bentuk perguruan tinggi:
a. Salinan akta notaris telah dilegalisasi (pernyataan sesuai dengan aslinya) oleh notaris dengan ‘cap basah’;
b. Akta notaris tersebut mencantumkan ‘mendirikan perguruan tinggi’ atau istilah lain yang sejenis sebagai tujuan pendirian badan penyelenggara tersebut;
c. Semua akta notaris tentang perubahan badan penyelenggara (jika badan penyelenggara melakukan perubahan badan penyelenggara) yang dapat menunjukkan hubungan antar akta notaris yang runtut.</t>
  </si>
  <si>
    <t>Badan penyelenggara telah memiliki:
a. Surat keputusan pejabat berwenang (a.l.: Kemenkumham; Berita Negara) tentang pengesahan badan penyelenggara sebagai badan hukum, yang:
1) mencantumkan Nomor akta notaris pendirian badan penyelenggara yang cocok dengan Nomor akta notaris sebagaimana tercantum dalam Akta Notaris pendirian badan penyelenggara ybs.; dan
2) mencantumkan Nama badan penyelenggara yang cocok dengan Nama badan penyelenggara sebagaimana tercantum dalam akta notaris pendirian badan penyelenggara ybs; 
dan/atau 
b. Surat dari pejabat berwenang (a.l.: Kemenkumham) tentang pencatatan penyesuaian dengan peraturan perundang-undangan atau perubahan susunan pengurus badan penyelenggara.
Salinan dokumen pada huruf a dan huruf b telah dilegalisasi (pernyataan sesuai dengan aslinya) oleh notaris dengan ‘cap basah’.</t>
  </si>
  <si>
    <t>Lahan untuk Kampus dapat berstatus Hak Milik atau Hak Guna Bangunan atau Hak Pakai atas nama Badan Penyelenggara, sebagaimana dibuktikan dengan Sertipikat Hak Milik atau Hak Guna Bangunan atau Hak Pakai.
Jika badan penyelenggara belum mempunyai hak atas lahan sebagaimana disebutkan di atas, maka:
a. Badan Penyelenggara dapat menggunakan lahan dan/atau prasarana atas nama pihak lain berdasarkan perjanjian sewa-menyewa dengan hak opsi yang dibuat di hadapan Notaris;  
b. perjanjian sewa menyewa sebagaimana dimaksud pada huruf a berlangsung paling lama 10 (sepuluh) tahun sejak Peraturan Menteri tentang Pendirian, Perubahan, Pembubaran Perguruan Tinggi Negeri, Dan Pendirian, Perubahan, Pencabutan Izin Perguruan Tinggi Swasta berlaku.</t>
  </si>
  <si>
    <t>Pilih "Ya" jika dokumen telah dilegalisasi, tujuan pendirian menyebutkan tujuan penyelenggaraan pendidikan, ada kesinambungan akta apabila terjadi perubahan yayasan.</t>
  </si>
  <si>
    <t>Pilih "Tidak" jika dokumen tidak dilegalisasi dan/atau tidak menyebutkan tujuan penyelenggaraan pendidikan, dan/atau kesinambungan akta apabila terjadi perubahan yayasan.</t>
  </si>
  <si>
    <t>Pilih "Ya" jika dokumen dilegalisasi dan kecocokan nomor akta yang tercantum di akta notaris dan nomor akta yang tercantum di SK atau surat pernyataan dan Kemkumham.</t>
  </si>
  <si>
    <t>Pilih "Tidak" jika dokumen tidak dilegalisasi dan tidak terdapat kecocokan nomor akta yang tercantum di akta notaris dan nomor akta yang tercantum di SK atau surat pernyataan dan Kemkumham.</t>
  </si>
  <si>
    <t>Perguruan Tinggi memiliki rancangan tata pamong yang memungkinkan terlaksananya prinsip-prinsip tata pamong secara konsisten, terutama yang terkait dengan pelaku tata pamong dan sistem pengelolaan yang baik (instrumen, perangkat pendukung, kebijakan dan peraturan, serta kode etik).</t>
  </si>
  <si>
    <t xml:space="preserve">Rancangan  struktur organisasi yang disesuaikan dengan kebutuhan penyelenggaraan dan pengembangan perguruan tinggi yang bermutu serta menjamin pelaksanaan otonomi perguruan tinggi. Unsur dalam struktur organisasi: (1) penyusun kebijakan, (2) pelaksana akademik, (3) pengawas dan penjaminan mutu, (4) penunjang akademik atau sumber belajar, dan (5) pelaksana administrasi atau tata usaha. 
</t>
  </si>
  <si>
    <t>Rancangan struktur organisasi pada 5 (lima) fungsi unsur dan dilengkapi dengan deskripsi tertulis yang jelas tentang tugas, fungsi, wewenang, dan tanggung jawab, serta terlaksananya otonomi dengan sangat baik.</t>
  </si>
  <si>
    <t>Tidak memiliki kelengkapan 3 (tiga) fungsi unsur pertama.</t>
  </si>
  <si>
    <t>Perguruan tinggi memiliki rancangan diseminasi/laporan hasil kerja kepada semua pemangku kepentingan (internal dan eksternal).</t>
  </si>
  <si>
    <t>Perguruan tinggi memiliki rancangan diseminasi/laporan hasil kerja kepada badan penyelenggara dan pemangku kepentingan internal.</t>
  </si>
  <si>
    <t>Perguruan tinggi memiliki rancangan diseminasi/laporan hasil kerja kepada badan penyelenggara.</t>
  </si>
  <si>
    <t>Rancangan diseminasi/laporan hasil kerja perguruan tinggi secara berkala sebagai wujud akuntabilitas publik.</t>
  </si>
  <si>
    <t>Perguruan tinggi tidak memiliki rancangan diseminasi/ laporan hasil kerja.</t>
  </si>
  <si>
    <t>Perguruan tinggi memiliki rancangan diseminasi/ laporan hasil kerja yang tidak dipublikasikan.</t>
  </si>
  <si>
    <t>Universitas: mengusulkan paling sedikit 10 (sepuluh) program studi pada program sarjana yang mewakili 6 (enam) program studi dari rumpun ilmu alam, rumpun ilmu formal, dan/atau rumpun ilmu terapan yang meliputi pertanian, arsitektur dan perencanaan, teknik, kehutanan dan lingkungan, kesehatan, dan transportasi, serta 4 (empat) program studi dari rumpun ilmu agama, rumpun ilmu humaniora, rumpun ilmu sosial, dan/atau rumpun ilmu terapan yang meliputi bisnis, pendidikan, keluarga dan konsumen, olahraga, jurnalistik, media massa dan komunikasi, hukum, perpustakaan dan permuseuman, militer, administrasi publik, dan pekerja sosial.</t>
  </si>
  <si>
    <t xml:space="preserve">Profil dosen yang diukur berdasarkan kualifikasi akademik dan kesesuaian bidang keahlian dengan kompetensi program studi.
</t>
  </si>
  <si>
    <t>Kebijakan dan pedoman akademik mencakup semua elemen standar pendidikan yang dirumuskan secara lengkap dengan substansi sangat baik.</t>
  </si>
  <si>
    <t>Kebijakan dan pedoman akademik mencakup semua elemen standar pendidikan yang dirumuskan secara lengkap dengan substansi baik.</t>
  </si>
  <si>
    <t>Kebijakan dan pedoman akademik mencakup 8 elemen standar pendidikan.</t>
  </si>
  <si>
    <t>Tidak ada kebijakan atau pedoman akademik.</t>
  </si>
  <si>
    <t>Perguruan tinggi memiliki kebijakan dan pedoman akademik yang terkait dengan standar pendidikan, yang mencakup elemen: (1) kompetensi lulusan, (2) isi pembelajaran, (3) proses pembelajaran, (4) penilaian pembelajaran, (5) dosen dan tenaga kependidikan, (6) sarana dan prasarana pembelajaran, (7) pengelolaan pembelajaran, dan (8) pembiayaan pembelajaran.</t>
  </si>
  <si>
    <t>Perguruan tinggi memiliki kebijakan, pedoman dan unit kerja yang memfasilitasi/ mengkoordinasi kegiatan perencanaan, pengembangan, dan pemutakhiran kurikulum secara berkala dan berkesinambungan, beserta rencana mekanisme monitoring dan evaluasinya.</t>
  </si>
  <si>
    <t>Perguruan tinggi memiliki : (1) kebijakan, dan (2) pedoman pengembangan kurikulum.</t>
  </si>
  <si>
    <t>Perguruan tinggi tidak memiliki kebijakan dan pedoman.</t>
  </si>
  <si>
    <t>Perguruan tinggi hanya memiliki kebijakan.</t>
  </si>
  <si>
    <t>Ruang praktikum.</t>
  </si>
  <si>
    <t>N = Jumlah program studi yang memiliki ruang praktikum yang memadai untuk kegiatan pembelajaran, penelitian dan PkM.</t>
  </si>
  <si>
    <t>Perguruan tinggi memiliki ketersediaan sarana yang digunakan untuk penyelenggaraan pembelajaran dan kegiatan penunjang lainnya. (Catatan: jika sarana milik sendiri, maka untuk butir ini dapat diberikan skor yang lebih tinggi)</t>
  </si>
  <si>
    <t>9.2.2</t>
  </si>
  <si>
    <t>Proyeksi Arus Kas</t>
  </si>
  <si>
    <t>9.2.2 Proyeksi Arus Kas</t>
  </si>
  <si>
    <t>Tidak ada Skor kurang dari 1.</t>
  </si>
  <si>
    <t>Ketersediaan rencana pengembangan SDM dosen (studi lanjut dan pengembangan kompetensi khusus) yang menunjukkan tahapan yang sangat jelas, realistik, dan didukung oleh kepastian pendanaan dalam jangka panjang (min. 10 tahun).</t>
  </si>
  <si>
    <t>Ketersediaan rencana pengembangan SDM dosen (studi lanjut dan pengembangan kompetensi khusus) yang menunjukkan tahapan yang jelas, realistik, dan didukung oleh rencana pendanaan dalam jangka panjang (min. 10 tahun).</t>
  </si>
  <si>
    <t>Ketersediaan rencana pengembangan SDM dosen (studi lanjut) yang menunjukkan tahapan yang jelas, realistik, dan didukung oleh rencana pendanaan dalam jangka panjang (min. 10 tahun).</t>
  </si>
  <si>
    <t>Ketersediaan rencana pengembangan SDM dosen yang menunjukkan tahapan kurang jelas.</t>
  </si>
  <si>
    <t>Perguruan tinggi memiliki : (1) kebijakan, (2) pedoman pengembangan kurikulum, (3) unit kerja/ fungsi organisasi yang memfasilitasi program studi untuk melakukan kegiatan  pengembangan kurikulum, dan (4) rencana mekanisme monitoring dan evaluasi kegiatan pengembangan kurikulum.</t>
  </si>
  <si>
    <t>Perguruan tinggi memiliki : (1) kebijakan, (2) pedoman pengembangan kurikulum, dan (3) unit kerja/ fungsi organisasi yang memfasilitasi program studi untuk melakukan kegiatan  pengembangan kurikulum.</t>
  </si>
  <si>
    <t>Perguruan tinggi memiliki peraturan yang mengatur ketiga unsur suasana akademik yang dinyatakan dengan sangat jelas.</t>
  </si>
  <si>
    <t>Perguruan tinggi memiliki peraturan yang mengatur ketiga unsur suasana akademik yang dinyatakan secara jelas.</t>
  </si>
  <si>
    <t xml:space="preserve">Perguruan tinggi memiliki peraturan yang mengatur tentang suasana akademik.
</t>
  </si>
  <si>
    <t>Perguruan tinggi tidak memiliki sistem pengolaan sarana dan prasarana.</t>
  </si>
  <si>
    <t>Perguruan tinggi memiliki sistem pengelolaan sarana dan prasarana (untuk kegiatan pendidikan, penelitian dan PkM)  yang lengkap mencakup keempat aspek pengelolaan.</t>
  </si>
  <si>
    <t>Perguruan tinggi memiliki sistem pengelolaan sarana dan prasarana (untuk kegiatan pendidikan, penelitian, PkM dan kegiatan penunjang) yang sangat lengkap mencakup keempat aspek pengelolaan.</t>
  </si>
  <si>
    <t>Perguruan tinggi tidak memiliki rencana induk pengembangan lahan dan prasarana pembelajaran.</t>
  </si>
  <si>
    <t>Perguruan tinggi tidak memiliki rencana induk pengembangan sarana pembelajaran/ koleksi pustaka.</t>
  </si>
  <si>
    <t>Proyeksi arus kas disampaikan secara: (1) rinci, (2) lengkap, (3) realistik, (4) logis, dan (5) konsisten dengan analisis pada studi kelayakan, serta tidak ada saldo negatif, dan dilengkapi dengan dokumen pendukung, terutama untuk pengeluaran investasi pembangunan gedung dan peralatan pendidikan.</t>
  </si>
  <si>
    <t>Rancangan struktur organisasi pada 4 (empat) fungsi unsur yang dilengkapi dengan deskripsi tertulis yang jelas tentang tugas, fungsi, wewenang, dan tanggung jawab.</t>
  </si>
  <si>
    <t>Mempunyai 3 (tiga) fungsi unsur pertama yang dilengkapi dengan deskripsi tertulis yang jelas tentang tugas, fungsi, wewenang, dan tanggung jawab.</t>
  </si>
  <si>
    <t>Universitas: minimal 10 program studi sarjana.</t>
  </si>
  <si>
    <t>Institut: minimal 6 program studi sarjana.</t>
  </si>
  <si>
    <t>Sekolah Tinggi: minimal 1 program studi sarjana.</t>
  </si>
  <si>
    <t>Politeknik: minimal 3 program studi diploma-3 dan/atau diploma-4.</t>
  </si>
  <si>
    <t>Akademi: minimal 1 program studi diploma-3.</t>
  </si>
  <si>
    <t>Ketersediaan rancangan dokumen sistem pengelolaan sumber daya manusia yang mencakup seluruh aspek: (1) perencanaan, (2) rekrutmen dan seleksi, (3) orientasi dan penempatan pegawai, (4) pengembangan karir, (5) remunerasi, penghargaan, dan sanksi, (6) pensiun dan pemutusan kerja, serta memenuhi prinsip meritokrasi.</t>
  </si>
  <si>
    <t>Ketersediaan rancangan dokumen sistem pengelolaan sumber daya manusia yang mencakup sebagian besar aspek: (1) perencanaan, (2) rekrutmen dan seleksi, (3) orientasi dan penempatan pegawai, (4) pengembangan karir, (5) remunerasi, penghargaan, dan sanksi, (6) pensiun dan pemutusan kerja, namun belum memenuhi prinsip meritokrasi.</t>
  </si>
  <si>
    <r>
      <t xml:space="preserve">Kebijakan dan pedoman akademik mencakup </t>
    </r>
    <r>
      <rPr>
        <sz val="11"/>
        <color indexed="8"/>
        <rFont val="Symbol"/>
        <family val="1"/>
        <charset val="2"/>
      </rPr>
      <t>&lt;</t>
    </r>
    <r>
      <rPr>
        <sz val="11"/>
        <color indexed="8"/>
        <rFont val="Calibri"/>
        <family val="2"/>
        <scheme val="minor"/>
      </rPr>
      <t xml:space="preserve"> 8 elemen standar pendidikan.</t>
    </r>
  </si>
  <si>
    <t>Badan penyelenggara menyampaikan ringkasan laporan keuangan yang memuat kondisi badan penyelenggara dalam 3 tahun terakhir bagi badan penyelenggara yang didirikan sebelum atau pada tahun terkait, 2 tahun terakhir bagi badan penyelenggara yang didirikan pada 2 tahun terakhir, atau 1 tahun terakhir bagi badan penyelenggara yang didirikan pada tahun sebelum usulan. 
Laporan keuangan disusun sesuai Pernyataan Standar Akuntansi Keuangan (PSAK) 45 revisi 2011 tentang Pelaporan Keuangan Entitas Nirlaba, yang memuat: a) Laporan Posisi Keuangan, b) Laporan Aktivitas, c) Laporan Arus Kas, dan d) Catatan atas Laporan Keuangan. Badan Penyelenggara yang menerima hibah lebih dari Rp. 500.000.000  atau mempunyai kekayaan di luar harta wakaf sebesar Rp 20.000.000.000,00 (dua puluh miliar rupiah) diwajibkan untuk menyampaikan Laporan Keuangan yang diaudit oleh Kantor Akuntan Publik.</t>
  </si>
  <si>
    <t>2.4.2</t>
  </si>
  <si>
    <t>Akreditasi Program Studi</t>
  </si>
  <si>
    <t>Ketersediaan rancangan dokumen sistem pengelolaan sumber daya manusia yang mencakup sebagian besar aspek: (1) perencanaan, (2) rekrutmen dan seleksi, (3) orientasi dan penempatan pegawai, (4) pengembangan karir, (5) remunerasi, penghargaan, dan sanksi, (6) pensiun dan pemutusan kerja, serta memenuhi prinsip meritokrasi.</t>
  </si>
  <si>
    <t>Perguruan tinggi memiliki kebijakan pengelolaan dana yang mencakup aspek: (1) Rencana penerimaan dan pengalokasian, (2) Penyerapan dan penggunaan, (3) Monitoring &amp; evaluasi, (4) Pelaporan, (5) Audit, dan (6) Pertanggungjawaban kepada pemangku kepentingan, serta mekanisme yang mengatur keterlibatan seluruh unit kerja dalam pengelolaan dana institusi.</t>
  </si>
  <si>
    <t>Perguruan tinggi memiliki rancangan kebijakan dan pedoman kerjasama yang menjamin tercapainya aspek: (1) mutu, (2) relevansi, (3) produktifitas, dan (4) kepuasan para pihak.</t>
  </si>
  <si>
    <t>Perguruan tinggi memiliki kebijakan dan pedoman yang menjamin tercapainya 4 aspek.</t>
  </si>
  <si>
    <t>Perguruan tinggi memiliki kebijakan dan pedoman yang menjamin tercapainya 3 dari 4 aspek.</t>
  </si>
  <si>
    <t>Perguruan tinggi memiliki kebijakan dan pedoman yang menjamin tercapainya 2 dari 4 aspek.</t>
  </si>
  <si>
    <t>Perguruan tinggi memiliki kebijakan dan pedoman yang menjamin tercapainya salah satu aspek.</t>
  </si>
  <si>
    <t>Perguruan tinggi memiliki pedoman seleksi dan rekrutmen mahasiswa baru yang meliputi unsur : (1) kebijakan, (2) kriteria, (3) prosedur, dan (4) mekanisme pengambilan keputusan.</t>
  </si>
  <si>
    <t>Perguruan tinggi memiliki pedoman seleksi dan rekrutmen mahasiswa baru yang memuat seluruh unsur.</t>
  </si>
  <si>
    <t>INFORMASI DARI INSTRUMEN
PERGURUAN TINGGI BARU</t>
  </si>
  <si>
    <t>2.4.2 Akreditasi Program Studi Terakreditasi</t>
  </si>
  <si>
    <t>Informasi dari Instrumen</t>
  </si>
  <si>
    <t>Informasi dari Instrumen setelah Diverifikasi Melalui Wawancara dan Observasi</t>
  </si>
  <si>
    <t>Dari kegiatan tersebut diperoleh informasi butir-butir instrumen yang sesuai/ tidak sesuai dengan kenyataan, dengan penjelasan sebagai tercantum di dalam daftar sebagai berikut.</t>
  </si>
  <si>
    <t xml:space="preserve">Berita acara asesmen lapangan ini ditandatangani oleh asesor dan pimpinan badan penyelenggara. </t>
  </si>
  <si>
    <t>FORMAT 1. PENILAIAN INSTRUMEN AKREDITASI INSTITUSI PERGURUAN TINGGI BARU</t>
  </si>
  <si>
    <t>Nama Badan Penyelenggara:</t>
  </si>
  <si>
    <t>ban-pt</t>
  </si>
  <si>
    <t>Nama Badan Penyelenggara</t>
  </si>
  <si>
    <t>Penilaian butir no. 33 dilakukan oleh evaluator bidang hukum</t>
  </si>
  <si>
    <t>Penilaian butir no. 32 dilakukan oleh evaluator bidang hukum</t>
  </si>
  <si>
    <t>Penilaian butir no. 31 dilakukan oleh evaluator bidang hukum</t>
  </si>
  <si>
    <t>Penilaian butir no. 3 dilakukan oleh evaluator bidang hukum</t>
  </si>
  <si>
    <t>Penilaian butir no. 4 dilakukan oleh evaluator bidang hukum</t>
  </si>
  <si>
    <t>Penilaian butir no. 47 dilakukan oleh evaluator bidang keuangan</t>
  </si>
  <si>
    <t>Penilaian butir no. 48 dilakukan oleh evaluator bidang keuangan</t>
  </si>
  <si>
    <t>Penilaian butir no. 49 dilakukan oleh evaluator bidang keuangan</t>
  </si>
  <si>
    <t>Penilaian butir no. 50 dilakukan oleh evaluator bidang keuangan</t>
  </si>
  <si>
    <t>Penilaian butir no. 51 dilakukan oleh evaluator bidang keuangan</t>
  </si>
  <si>
    <t>Penilaian butir no. 52 dilakukan oleh evaluator bidang keuangan</t>
  </si>
  <si>
    <r>
      <t>Jika hasil penilaian akreditasi program studi baru belum ada, maka N</t>
    </r>
    <r>
      <rPr>
        <b/>
        <vertAlign val="subscript"/>
        <sz val="11"/>
        <color rgb="FFFF0000"/>
        <rFont val="Calibri"/>
        <family val="2"/>
        <scheme val="minor"/>
      </rPr>
      <t>PS_A</t>
    </r>
    <r>
      <rPr>
        <b/>
        <sz val="11"/>
        <color rgb="FFFF0000"/>
        <rFont val="Calibri"/>
        <family val="2"/>
        <scheme val="minor"/>
      </rPr>
      <t xml:space="preserve"> dan N</t>
    </r>
    <r>
      <rPr>
        <b/>
        <vertAlign val="subscript"/>
        <sz val="11"/>
        <color rgb="FFFF0000"/>
        <rFont val="Calibri"/>
        <family val="2"/>
        <scheme val="minor"/>
      </rPr>
      <t>PS_B</t>
    </r>
    <r>
      <rPr>
        <b/>
        <sz val="11"/>
        <color rgb="FFFF0000"/>
        <rFont val="Calibri"/>
        <family val="2"/>
        <scheme val="minor"/>
      </rPr>
      <t xml:space="preserve"> masing-masing diisi dengan angka 0 </t>
    </r>
  </si>
  <si>
    <r>
      <t>Jika hasil penilaian akreditasi program studi baru belum ada, maka N</t>
    </r>
    <r>
      <rPr>
        <b/>
        <vertAlign val="subscript"/>
        <sz val="11"/>
        <color rgb="FFFF0000"/>
        <rFont val="Calibri"/>
        <family val="2"/>
        <scheme val="minor"/>
      </rPr>
      <t>S1</t>
    </r>
    <r>
      <rPr>
        <b/>
        <sz val="11"/>
        <color rgb="FFFF0000"/>
        <rFont val="Calibri"/>
        <family val="2"/>
        <scheme val="minor"/>
      </rPr>
      <t xml:space="preserve"> dan N</t>
    </r>
    <r>
      <rPr>
        <b/>
        <vertAlign val="subscript"/>
        <sz val="11"/>
        <color rgb="FFFF0000"/>
        <rFont val="Calibri"/>
        <family val="2"/>
        <scheme val="minor"/>
      </rPr>
      <t>D</t>
    </r>
    <r>
      <rPr>
        <b/>
        <sz val="11"/>
        <color rgb="FFFF0000"/>
        <rFont val="Calibri"/>
        <family val="2"/>
        <scheme val="minor"/>
      </rPr>
      <t xml:space="preserve"> masing-masing diisi dengan angka 0 </t>
    </r>
  </si>
  <si>
    <r>
      <t>N</t>
    </r>
    <r>
      <rPr>
        <vertAlign val="subscript"/>
        <sz val="11"/>
        <color indexed="8"/>
        <rFont val="Calibri"/>
        <family val="2"/>
        <scheme val="minor"/>
      </rPr>
      <t>PS_usul</t>
    </r>
    <r>
      <rPr>
        <sz val="11"/>
        <color indexed="8"/>
        <rFont val="Calibri"/>
        <family val="2"/>
        <scheme val="minor"/>
      </rPr>
      <t xml:space="preserve"> = Jumlah program studi yang diusulkan (N</t>
    </r>
    <r>
      <rPr>
        <vertAlign val="subscript"/>
        <sz val="11"/>
        <color indexed="8"/>
        <rFont val="Calibri"/>
        <family val="2"/>
        <scheme val="minor"/>
      </rPr>
      <t>PS_lama</t>
    </r>
    <r>
      <rPr>
        <sz val="11"/>
        <color indexed="8"/>
        <rFont val="Calibri"/>
        <family val="2"/>
        <scheme val="minor"/>
      </rPr>
      <t xml:space="preserve"> + N</t>
    </r>
    <r>
      <rPr>
        <vertAlign val="subscript"/>
        <sz val="11"/>
        <color indexed="8"/>
        <rFont val="Calibri"/>
        <family val="2"/>
        <scheme val="minor"/>
      </rPr>
      <t>PS_usulbaru</t>
    </r>
    <r>
      <rPr>
        <sz val="11"/>
        <color indexed="8"/>
        <rFont val="Calibri"/>
        <family val="2"/>
        <scheme val="minor"/>
      </rPr>
      <t>)</t>
    </r>
  </si>
  <si>
    <r>
      <t>N</t>
    </r>
    <r>
      <rPr>
        <vertAlign val="subscript"/>
        <sz val="11"/>
        <color indexed="8"/>
        <rFont val="Calibri"/>
        <family val="2"/>
        <scheme val="minor"/>
      </rPr>
      <t>PS_ijinbaru</t>
    </r>
    <r>
      <rPr>
        <sz val="11"/>
        <color indexed="8"/>
        <rFont val="Calibri"/>
        <family val="2"/>
        <scheme val="minor"/>
      </rPr>
      <t xml:space="preserve"> = Jumlah program studi baru yang terakreditasi minimum  (berdasarkan hasil penilaian akreditasi program studi baru)</t>
    </r>
  </si>
  <si>
    <t>Jumlah usulan program studi berdasarkan kelompok ilmu.</t>
  </si>
  <si>
    <r>
      <t>Jika hasil penilaian akreditasi program studi baru belum ada, atau tidak ada program studi baru yang diusulkan, maka N</t>
    </r>
    <r>
      <rPr>
        <b/>
        <vertAlign val="subscript"/>
        <sz val="11"/>
        <color rgb="FFFF0000"/>
        <rFont val="Calibri"/>
        <family val="2"/>
        <scheme val="minor"/>
      </rPr>
      <t>PS_ijinbaru</t>
    </r>
    <r>
      <rPr>
        <b/>
        <sz val="11"/>
        <color rgb="FFFF0000"/>
        <rFont val="Calibri"/>
        <family val="2"/>
        <scheme val="minor"/>
      </rPr>
      <t xml:space="preserve"> diisi dengan angka 0 </t>
    </r>
  </si>
  <si>
    <t>Rasio Program Diploma terhadap Program Sarjana pada Universitas, Institut dan Sekolah Tinggi.</t>
  </si>
  <si>
    <t>Jumlah program studi pada perguruan tinggi baru.</t>
  </si>
  <si>
    <r>
      <t>N</t>
    </r>
    <r>
      <rPr>
        <vertAlign val="subscript"/>
        <sz val="11"/>
        <color indexed="8"/>
        <rFont val="Calibri"/>
        <family val="2"/>
        <scheme val="minor"/>
      </rPr>
      <t>A</t>
    </r>
    <r>
      <rPr>
        <sz val="11"/>
        <color indexed="8"/>
        <rFont val="Calibri"/>
        <family val="2"/>
        <scheme val="minor"/>
      </rPr>
      <t xml:space="preserve"> = Jumlah program studi terakreditasi A</t>
    </r>
  </si>
  <si>
    <r>
      <t>N</t>
    </r>
    <r>
      <rPr>
        <vertAlign val="subscript"/>
        <sz val="11"/>
        <color indexed="8"/>
        <rFont val="Calibri"/>
        <family val="2"/>
        <scheme val="minor"/>
      </rPr>
      <t>B</t>
    </r>
    <r>
      <rPr>
        <sz val="11"/>
        <color indexed="8"/>
        <rFont val="Calibri"/>
        <family val="2"/>
        <scheme val="minor"/>
      </rPr>
      <t xml:space="preserve"> = Jumlah program studi terakreditasi B</t>
    </r>
  </si>
  <si>
    <r>
      <t>N</t>
    </r>
    <r>
      <rPr>
        <vertAlign val="subscript"/>
        <sz val="11"/>
        <color indexed="8"/>
        <rFont val="Calibri"/>
        <family val="2"/>
        <scheme val="minor"/>
      </rPr>
      <t>C</t>
    </r>
    <r>
      <rPr>
        <sz val="11"/>
        <color indexed="8"/>
        <rFont val="Calibri"/>
        <family val="2"/>
        <scheme val="minor"/>
      </rPr>
      <t xml:space="preserve"> = Jumlah program studi terakreditasi C</t>
    </r>
  </si>
  <si>
    <r>
      <t>N</t>
    </r>
    <r>
      <rPr>
        <vertAlign val="subscript"/>
        <sz val="11"/>
        <color rgb="FF000000"/>
        <rFont val="Calibri"/>
        <family val="2"/>
        <scheme val="minor"/>
      </rPr>
      <t>M</t>
    </r>
    <r>
      <rPr>
        <sz val="11"/>
        <color rgb="FF000000"/>
        <rFont val="Calibri"/>
        <family val="2"/>
        <scheme val="minor"/>
      </rPr>
      <t xml:space="preserve"> = N</t>
    </r>
    <r>
      <rPr>
        <vertAlign val="subscript"/>
        <sz val="11"/>
        <color rgb="FF000000"/>
        <rFont val="Calibri"/>
        <family val="2"/>
        <scheme val="minor"/>
      </rPr>
      <t>PS_ijinbaru</t>
    </r>
    <r>
      <rPr>
        <sz val="11"/>
        <color rgb="FF000000"/>
        <rFont val="Calibri"/>
        <family val="2"/>
        <scheme val="minor"/>
      </rPr>
      <t xml:space="preserve"> = Jumlah program studi baru yang terakreditasi minimum (berdasarkan hasil penilaian akreditasi program studi baru)</t>
    </r>
  </si>
  <si>
    <r>
      <t>N</t>
    </r>
    <r>
      <rPr>
        <vertAlign val="subscript"/>
        <sz val="11"/>
        <color indexed="8"/>
        <rFont val="Calibri"/>
        <family val="2"/>
        <scheme val="minor"/>
      </rPr>
      <t>PS_usulbaru</t>
    </r>
    <r>
      <rPr>
        <sz val="11"/>
        <color indexed="8"/>
        <rFont val="Calibri"/>
        <family val="2"/>
        <scheme val="minor"/>
      </rPr>
      <t xml:space="preserve"> = Jumlah program studi baru yang diusulkan untuk mendapat akreditasi minimum</t>
    </r>
  </si>
  <si>
    <r>
      <t>N</t>
    </r>
    <r>
      <rPr>
        <vertAlign val="subscript"/>
        <sz val="11"/>
        <color rgb="FF000000"/>
        <rFont val="Calibri"/>
        <family val="2"/>
        <scheme val="minor"/>
      </rPr>
      <t>PS</t>
    </r>
    <r>
      <rPr>
        <sz val="11"/>
        <color rgb="FF000000"/>
        <rFont val="Calibri"/>
        <family val="2"/>
        <scheme val="minor"/>
      </rPr>
      <t xml:space="preserve"> = N</t>
    </r>
    <r>
      <rPr>
        <vertAlign val="subscript"/>
        <sz val="11"/>
        <color rgb="FF000000"/>
        <rFont val="Calibri"/>
        <family val="2"/>
        <scheme val="minor"/>
      </rPr>
      <t>A</t>
    </r>
    <r>
      <rPr>
        <sz val="11"/>
        <color rgb="FF000000"/>
        <rFont val="Calibri"/>
        <family val="2"/>
        <scheme val="minor"/>
      </rPr>
      <t xml:space="preserve"> + N</t>
    </r>
    <r>
      <rPr>
        <vertAlign val="subscript"/>
        <sz val="11"/>
        <color rgb="FF000000"/>
        <rFont val="Calibri"/>
        <family val="2"/>
        <scheme val="minor"/>
      </rPr>
      <t>B</t>
    </r>
    <r>
      <rPr>
        <sz val="11"/>
        <color rgb="FF000000"/>
        <rFont val="Calibri"/>
        <family val="2"/>
        <scheme val="minor"/>
      </rPr>
      <t xml:space="preserve"> + N</t>
    </r>
    <r>
      <rPr>
        <vertAlign val="subscript"/>
        <sz val="11"/>
        <color rgb="FF000000"/>
        <rFont val="Calibri"/>
        <family val="2"/>
        <scheme val="minor"/>
      </rPr>
      <t>C</t>
    </r>
    <r>
      <rPr>
        <sz val="11"/>
        <color rgb="FF000000"/>
        <rFont val="Calibri"/>
        <family val="2"/>
        <scheme val="minor"/>
      </rPr>
      <t xml:space="preserve"> + N</t>
    </r>
    <r>
      <rPr>
        <vertAlign val="subscript"/>
        <sz val="11"/>
        <color rgb="FF000000"/>
        <rFont val="Calibri"/>
        <family val="2"/>
        <scheme val="minor"/>
      </rPr>
      <t xml:space="preserve">M </t>
    </r>
  </si>
  <si>
    <r>
      <t>N</t>
    </r>
    <r>
      <rPr>
        <vertAlign val="subscript"/>
        <sz val="11"/>
        <color indexed="8"/>
        <rFont val="Calibri"/>
        <family val="2"/>
        <scheme val="minor"/>
      </rPr>
      <t>PS_A</t>
    </r>
    <r>
      <rPr>
        <sz val="11"/>
        <color indexed="8"/>
        <rFont val="Calibri"/>
        <family val="2"/>
        <scheme val="minor"/>
      </rPr>
      <t xml:space="preserve"> = Jumlah program studi dari rumpun ilmu alam, rumpun ilmu formal, dst. </t>
    </r>
  </si>
  <si>
    <r>
      <t>N</t>
    </r>
    <r>
      <rPr>
        <vertAlign val="subscript"/>
        <sz val="11"/>
        <color indexed="8"/>
        <rFont val="Calibri"/>
        <family val="2"/>
        <scheme val="minor"/>
      </rPr>
      <t>PS_B</t>
    </r>
    <r>
      <rPr>
        <sz val="11"/>
        <color indexed="8"/>
        <rFont val="Calibri"/>
        <family val="2"/>
        <scheme val="minor"/>
      </rPr>
      <t xml:space="preserve"> = Jumlah program studi dari rumpun ilmu agama, rumpun ilmu humaniora, dst. </t>
    </r>
  </si>
  <si>
    <r>
      <t>Jika hasil penilaian akreditasi program studi baru belum ada, maka N</t>
    </r>
    <r>
      <rPr>
        <b/>
        <vertAlign val="subscript"/>
        <sz val="11"/>
        <color rgb="FFFF0000"/>
        <rFont val="Calibri"/>
        <family val="2"/>
        <scheme val="minor"/>
      </rPr>
      <t>DTPS_ijinbaru</t>
    </r>
    <r>
      <rPr>
        <b/>
        <sz val="11"/>
        <color rgb="FFFF0000"/>
        <rFont val="Calibri"/>
        <family val="2"/>
        <scheme val="minor"/>
      </rPr>
      <t xml:space="preserve"> diisi dengan angka 0 </t>
    </r>
  </si>
  <si>
    <r>
      <t>N</t>
    </r>
    <r>
      <rPr>
        <vertAlign val="subscript"/>
        <sz val="11"/>
        <color indexed="8"/>
        <rFont val="Calibri"/>
        <family val="2"/>
        <scheme val="minor"/>
      </rPr>
      <t>PS</t>
    </r>
    <r>
      <rPr>
        <sz val="11"/>
        <color indexed="8"/>
        <rFont val="Calibri"/>
        <family val="2"/>
        <scheme val="minor"/>
      </rPr>
      <t xml:space="preserve"> = Jumlah program studi yang terakreditasi atau program studi baru yang terakreditasi minimum = N</t>
    </r>
    <r>
      <rPr>
        <vertAlign val="subscript"/>
        <sz val="11"/>
        <color indexed="8"/>
        <rFont val="Calibri"/>
        <family val="2"/>
        <scheme val="minor"/>
      </rPr>
      <t>PS_lama</t>
    </r>
    <r>
      <rPr>
        <sz val="11"/>
        <color indexed="8"/>
        <rFont val="Calibri"/>
        <family val="2"/>
        <scheme val="minor"/>
      </rPr>
      <t xml:space="preserve"> + N</t>
    </r>
    <r>
      <rPr>
        <vertAlign val="subscript"/>
        <sz val="11"/>
        <color indexed="8"/>
        <rFont val="Calibri"/>
        <family val="2"/>
        <scheme val="minor"/>
      </rPr>
      <t>PS_ijinbaru</t>
    </r>
    <r>
      <rPr>
        <sz val="11"/>
        <color indexed="8"/>
        <rFont val="Calibri"/>
        <family val="2"/>
        <scheme val="minor"/>
      </rPr>
      <t xml:space="preserve"> </t>
    </r>
  </si>
  <si>
    <r>
      <t>Catatan: N</t>
    </r>
    <r>
      <rPr>
        <vertAlign val="subscript"/>
        <sz val="11"/>
        <color indexed="8"/>
        <rFont val="Calibri"/>
        <family val="2"/>
        <scheme val="minor"/>
      </rPr>
      <t>PS</t>
    </r>
    <r>
      <rPr>
        <sz val="11"/>
        <color indexed="8"/>
        <rFont val="Calibri"/>
        <family val="2"/>
        <scheme val="minor"/>
      </rPr>
      <t xml:space="preserve"> = Jumlah program studi yang terakreditasi atau program studi baru yang terakreditasi minimum.</t>
    </r>
  </si>
  <si>
    <r>
      <t>N</t>
    </r>
    <r>
      <rPr>
        <vertAlign val="subscript"/>
        <sz val="11"/>
        <color indexed="8"/>
        <rFont val="Calibri"/>
        <family val="2"/>
        <scheme val="minor"/>
      </rPr>
      <t>S1</t>
    </r>
    <r>
      <rPr>
        <sz val="11"/>
        <color indexed="8"/>
        <rFont val="Calibri"/>
        <family val="2"/>
        <scheme val="minor"/>
      </rPr>
      <t xml:space="preserve"> = Jumlah program studi sarjana yang terakreditasi atau terakreditasi minimum.</t>
    </r>
  </si>
  <si>
    <r>
      <t>N</t>
    </r>
    <r>
      <rPr>
        <vertAlign val="subscript"/>
        <sz val="11"/>
        <color rgb="FF000000"/>
        <rFont val="Calibri"/>
        <family val="2"/>
        <scheme val="minor"/>
      </rPr>
      <t>D</t>
    </r>
    <r>
      <rPr>
        <sz val="11"/>
        <color rgb="FF000000"/>
        <rFont val="Calibri"/>
        <family val="2"/>
        <scheme val="minor"/>
      </rPr>
      <t xml:space="preserve"> = Jumlah program studi diploma yang terakreditasi atau terakreditasi minimum.</t>
    </r>
  </si>
  <si>
    <r>
      <t>N</t>
    </r>
    <r>
      <rPr>
        <vertAlign val="subscript"/>
        <sz val="11"/>
        <color indexed="8"/>
        <rFont val="Calibri"/>
        <family val="2"/>
        <scheme val="minor"/>
      </rPr>
      <t>DT</t>
    </r>
    <r>
      <rPr>
        <sz val="11"/>
        <color indexed="8"/>
        <rFont val="Calibri"/>
        <family val="2"/>
        <scheme val="minor"/>
      </rPr>
      <t xml:space="preserve"> = Jumlah dosen tetap pada program studi yang terakreditasi atau program studi baru yang terakreditasi minimum.</t>
    </r>
  </si>
  <si>
    <r>
      <t>N</t>
    </r>
    <r>
      <rPr>
        <vertAlign val="subscript"/>
        <sz val="11"/>
        <color indexed="8"/>
        <rFont val="Calibri"/>
        <family val="2"/>
        <scheme val="minor"/>
      </rPr>
      <t>PS</t>
    </r>
    <r>
      <rPr>
        <sz val="11"/>
        <color indexed="8"/>
        <rFont val="Calibri"/>
        <family val="2"/>
        <scheme val="minor"/>
      </rPr>
      <t xml:space="preserve"> = Jumlah program studi yang terakreditasi atau program studi baru yang terakreditasi minimum.</t>
    </r>
  </si>
  <si>
    <r>
      <t>N</t>
    </r>
    <r>
      <rPr>
        <vertAlign val="subscript"/>
        <sz val="11"/>
        <color indexed="8"/>
        <rFont val="Calibri"/>
        <family val="2"/>
        <scheme val="minor"/>
      </rPr>
      <t>DTPS_ijinbaru</t>
    </r>
    <r>
      <rPr>
        <sz val="11"/>
        <color indexed="8"/>
        <rFont val="Calibri"/>
        <family val="2"/>
        <scheme val="minor"/>
      </rPr>
      <t xml:space="preserve"> = Jumlah dosen tetap pada program studi baru yang terakreditasi minimum.</t>
    </r>
  </si>
  <si>
    <r>
      <t>N</t>
    </r>
    <r>
      <rPr>
        <vertAlign val="subscript"/>
        <sz val="11"/>
        <color theme="1"/>
        <rFont val="Calibri"/>
        <family val="2"/>
        <scheme val="minor"/>
      </rPr>
      <t>S3PS_ijinbaru</t>
    </r>
    <r>
      <rPr>
        <sz val="11"/>
        <color theme="1"/>
        <rFont val="Calibri"/>
        <family val="2"/>
        <scheme val="minor"/>
      </rPr>
      <t xml:space="preserve"> = Jumlah dosen tetap berkualifikasi S-3/ Sp-2 dengan bidang keahlian sesuai pada program studi baru yang terakreditasi minimum.</t>
    </r>
  </si>
  <si>
    <r>
      <t>N</t>
    </r>
    <r>
      <rPr>
        <vertAlign val="subscript"/>
        <sz val="11"/>
        <color theme="1"/>
        <rFont val="Calibri"/>
        <family val="2"/>
        <scheme val="minor"/>
      </rPr>
      <t>S3</t>
    </r>
    <r>
      <rPr>
        <sz val="11"/>
        <color theme="1"/>
        <rFont val="Calibri"/>
        <family val="2"/>
        <scheme val="minor"/>
      </rPr>
      <t xml:space="preserve"> = Jumlah dosen tetap berkualifikasi S-3/ Sp-2 dengan bidang keahlian sesuai pada program studi yang terakreditasi atau program studi baru yang terakreditasi minimum.</t>
    </r>
  </si>
  <si>
    <r>
      <t>Jika hasil penilaian akreditasi program studi baru belum ada, maka N</t>
    </r>
    <r>
      <rPr>
        <b/>
        <vertAlign val="subscript"/>
        <sz val="11"/>
        <color rgb="FFFF0000"/>
        <rFont val="Calibri"/>
        <family val="2"/>
        <scheme val="minor"/>
      </rPr>
      <t>S3PS_ijinbaru</t>
    </r>
    <r>
      <rPr>
        <b/>
        <sz val="11"/>
        <color rgb="FFFF0000"/>
        <rFont val="Calibri"/>
        <family val="2"/>
        <scheme val="minor"/>
      </rPr>
      <t xml:space="preserve"> diisi dengan angka 0 </t>
    </r>
  </si>
  <si>
    <r>
      <t>N</t>
    </r>
    <r>
      <rPr>
        <vertAlign val="subscript"/>
        <sz val="11"/>
        <color theme="1"/>
        <rFont val="Calibri"/>
        <family val="2"/>
        <scheme val="minor"/>
      </rPr>
      <t>Adm</t>
    </r>
    <r>
      <rPr>
        <sz val="11"/>
        <color theme="1"/>
        <rFont val="Calibri"/>
        <family val="2"/>
        <scheme val="minor"/>
      </rPr>
      <t xml:space="preserve"> = (4 x A) + (3 x B)</t>
    </r>
  </si>
  <si>
    <r>
      <t>N</t>
    </r>
    <r>
      <rPr>
        <vertAlign val="subscript"/>
        <sz val="11"/>
        <color theme="1"/>
        <rFont val="Calibri"/>
        <family val="2"/>
        <scheme val="minor"/>
      </rPr>
      <t>PS</t>
    </r>
    <r>
      <rPr>
        <sz val="11"/>
        <color theme="1"/>
        <rFont val="Calibri"/>
        <family val="2"/>
        <scheme val="minor"/>
      </rPr>
      <t xml:space="preserve"> = Jumlah program studi yang terakreditasi atau program studi baru yang terakreditasi minimum.</t>
    </r>
  </si>
  <si>
    <r>
      <t>N</t>
    </r>
    <r>
      <rPr>
        <vertAlign val="subscript"/>
        <sz val="11"/>
        <color theme="1"/>
        <rFont val="Calibri"/>
        <family val="2"/>
        <scheme val="minor"/>
      </rPr>
      <t>PS</t>
    </r>
    <r>
      <rPr>
        <sz val="11"/>
        <color theme="1"/>
        <rFont val="Calibri"/>
        <family val="2"/>
        <scheme val="minor"/>
      </rPr>
      <t xml:space="preserve"> =  Jumlah program studi yang terakreditasi atau program studi baru yang terakreditasi minimum.</t>
    </r>
  </si>
  <si>
    <t>v 11.06.2016</t>
  </si>
  <si>
    <t>Umum</t>
  </si>
  <si>
    <t>Hukum</t>
  </si>
  <si>
    <t>Keuangan</t>
  </si>
  <si>
    <t>SKOR, YA/TIDAK</t>
  </si>
  <si>
    <r>
      <t>N</t>
    </r>
    <r>
      <rPr>
        <vertAlign val="subscript"/>
        <sz val="11"/>
        <color indexed="8"/>
        <rFont val="Calibri"/>
        <family val="2"/>
        <scheme val="minor"/>
      </rPr>
      <t>PS_terakreditasi</t>
    </r>
    <r>
      <rPr>
        <sz val="11"/>
        <color indexed="8"/>
        <rFont val="Calibri"/>
        <family val="2"/>
        <scheme val="minor"/>
      </rPr>
      <t xml:space="preserve"> = Jumlah program studi yang terakreditasi (lihat tabel 2.4.2)</t>
    </r>
  </si>
  <si>
    <r>
      <t>Catatan: N</t>
    </r>
    <r>
      <rPr>
        <vertAlign val="subscript"/>
        <sz val="11"/>
        <color indexed="8"/>
        <rFont val="Calibri"/>
        <family val="2"/>
        <scheme val="minor"/>
      </rPr>
      <t>PS_terakreditasi</t>
    </r>
    <r>
      <rPr>
        <sz val="11"/>
        <color indexed="8"/>
        <rFont val="Calibri"/>
        <family val="2"/>
        <scheme val="minor"/>
      </rPr>
      <t xml:space="preserve"> = Jumlah program studi yang terakreditasi</t>
    </r>
  </si>
  <si>
    <r>
      <t>N</t>
    </r>
    <r>
      <rPr>
        <vertAlign val="subscript"/>
        <sz val="11"/>
        <color indexed="8"/>
        <rFont val="Calibri"/>
        <family val="2"/>
        <scheme val="minor"/>
      </rPr>
      <t>DTPS_terakreditasi</t>
    </r>
    <r>
      <rPr>
        <sz val="11"/>
        <color indexed="8"/>
        <rFont val="Calibri"/>
        <family val="2"/>
        <scheme val="minor"/>
      </rPr>
      <t xml:space="preserve"> = Jumlah dosen tetap pada program studi yang terakreditasi.</t>
    </r>
  </si>
  <si>
    <r>
      <t>N</t>
    </r>
    <r>
      <rPr>
        <vertAlign val="subscript"/>
        <sz val="11"/>
        <color theme="1"/>
        <rFont val="Calibri"/>
        <family val="2"/>
        <scheme val="minor"/>
      </rPr>
      <t>S3PS_terakreditasi</t>
    </r>
    <r>
      <rPr>
        <sz val="11"/>
        <color theme="1"/>
        <rFont val="Calibri"/>
        <family val="2"/>
        <scheme val="minor"/>
      </rPr>
      <t xml:space="preserve"> = Jumlah dosen tetap berkualifikasi S-3/ Sp-2 dengan bidang keahlian sesuai pada program studi yang terakreditasi.</t>
    </r>
  </si>
  <si>
    <r>
      <t>N</t>
    </r>
    <r>
      <rPr>
        <vertAlign val="subscript"/>
        <sz val="11"/>
        <color indexed="8"/>
        <rFont val="Calibri"/>
        <family val="2"/>
        <scheme val="minor"/>
      </rPr>
      <t>TK</t>
    </r>
    <r>
      <rPr>
        <sz val="11"/>
        <color indexed="8"/>
        <rFont val="Calibri"/>
        <family val="2"/>
        <scheme val="minor"/>
      </rPr>
      <t xml:space="preserve"> = Jumlah tenaga kependidikan di perguruan tinggi.</t>
    </r>
  </si>
  <si>
    <t>A = Jumlah tenaga administrasi berkualifikasi minimum S-1/ D-4</t>
  </si>
  <si>
    <t>L = Jumlah tenaga laboran/ teknisi berkualifikasi minimum D-3</t>
  </si>
  <si>
    <t>A = Jumlah tenaga perpustakaan berkualifikasi minimum S-1/ D-4</t>
  </si>
  <si>
    <r>
      <t>Catatan: N</t>
    </r>
    <r>
      <rPr>
        <vertAlign val="subscript"/>
        <sz val="11"/>
        <color theme="1"/>
        <rFont val="Calibri"/>
        <family val="2"/>
        <scheme val="minor"/>
      </rPr>
      <t>DT</t>
    </r>
    <r>
      <rPr>
        <sz val="11"/>
        <color theme="1"/>
        <rFont val="Calibri"/>
        <family val="2"/>
        <scheme val="minor"/>
      </rPr>
      <t xml:space="preserve"> = Jumlah dosen tetap pada program studi yang terakreditasi atau program studi baru yang terakreditasi minimum.</t>
    </r>
  </si>
  <si>
    <t>REKAPITULASI NILAI ASESMEN LAPANGAN</t>
  </si>
  <si>
    <t>Rekap Asesmen Lapangan</t>
  </si>
  <si>
    <t>F4 Nilai Akhir Asesor AL</t>
  </si>
  <si>
    <t>TAHUN 2023</t>
  </si>
  <si>
    <t>Prof. Dr. Ramdani Wahyu Sururie</t>
  </si>
  <si>
    <t>1. Prof. Dr. Ramdani Wahyu Sururie</t>
  </si>
  <si>
    <t>2. Prof.Dr.H. Bambang Qomaruzzaman, M.Ag</t>
  </si>
  <si>
    <t>Prof. Dr. Fauzan, MA</t>
  </si>
  <si>
    <t>Prof. Dr. Ramdani Wahyu S</t>
  </si>
  <si>
    <t>Bandung</t>
  </si>
  <si>
    <t>12 Mei 2026</t>
  </si>
  <si>
    <t>24 Mei 2026</t>
  </si>
  <si>
    <t>Prof.Dr. Ramdani Wahyu Suurie, M.Ag.,M.Si</t>
  </si>
  <si>
    <t>2. Prof. Dr.Fauzan, MA</t>
  </si>
  <si>
    <t>H. Akhmad Sukeran, S.Pd</t>
  </si>
  <si>
    <t>Ketua Yayasan Ibnu Atha’illah</t>
  </si>
  <si>
    <t>Sugai Hulu Selatan,  24 Mei 2026</t>
  </si>
  <si>
    <t>Sungai Hulu Selatan</t>
  </si>
  <si>
    <t>Yayasan Ibnu Atha’illah</t>
  </si>
  <si>
    <t>Penyusunan Visi, Misi, Tujuan, dan Sasaran Pendirian Institut Agama Islam (IAI) Guru Kapuh Ibnu Atha’illah (GHIBTA) dilakukan berdasarkan kajian terhadap tantangan serta kebutuhan yang muncul baik dari lingkungan eksternal maupun internal lembaga. Visi IAI: Menjadi Institut Agama Islam Guru Kapuh Ibnu Atha’illah Yang Unggul dalam memadukan keimanan, nilai Qur’an, adab dan keilmuan serta melahirkan generasi yang berdaya guna bagi umat dan berjiwa entrepreneur. Dalam penyusunan sudah melibatkan pihak internal dan eksternal, spt: Pondok Pesantren (Induk/Afiliasi), Pengguna Lulusan (Alumni &amp; Dunia Kerja), Pemerintah (Kemenag, LLDIKTI, Pemda), Masyarakat/Komunitas Lokal, dan Mitra Kerja Sama (Perguruan Tinggi, NGO &amp; Bank Syariah). Secara konseptual sudah ada kelajalasan arah visi yg diharapkan. Visi cukup realitisk karena adanya dukungan SDM dosen tendik yg memadai, ketersedian sarpras pendukung, serta tata kelola kelembagaan yg disiapkan, Konsep Visi memiliki keterkaitan arah dg mimpi atau keinginan Yayasan, yakni melahirkan generasi unggul yg berilmu pengetahuan, berakhlak al-karimah, dan mampu mengadaptasi perkembangan zaman</t>
  </si>
  <si>
    <t xml:space="preserve">Rencana Induk Pengembangan (RIP) IAI Guru Kapuh Ibnu Atha’illah (GHIBTA) 2025–2047 dijelaskan arah pengembangan lembaga menuju visi tahun 2047 dengan uraian sebagai berikut: Pertama, Tahap Forming, Established Institute. tahun 2032 IAI Guru Kapuh Ibnu Atha’illah (GHIBTA) bertransformasi menjadi Institut Agama Islam (IAI) Guru Kapuh Ibnu Atha’illah (GHIBTA). Kedua, Tahap Growing tahun 2032 menuju Universitas yang unggul dalam menghasilkan Ulama, Umaro dan Cendekiawan Muslim Dunia. </t>
  </si>
  <si>
    <t>Penyelenggara Institut Agama Islam (IAI) Guru Kapuh Ibnu Atha’illah (GIBTHA) adalah Lembaga Pendidikan Yayasan Ibnu Athaillah Indonesia dengan telah terdaftar di Notaris MARIA SEPTIANI SOFIA, SH., M.KN. tercatat SK. MENKEH &amp; HAM RI No AHU-08705.50.10.2014. TANGGAL 06 NOVEMBER 2014</t>
  </si>
  <si>
    <t>Badan Penyelenggara telah memiliki Surat Keputusan Pejabat Berwenang daro Kemenkumham melelui Notaris: MARIA SEPTIANI SOFIA, SH., M.KN.
NOTARIS. PPAT, SK. MENKEH &amp; HAM RI No. AHU-08705.50.10.2014. TANGGAL 06 NOVEMBER 2014 PENGESAHAN PENDIRIAN YAYASAN IBNU ATHA’ILLAH TANGGAL : 06 November 2014. Pada Pasal 3 disebutkan: Yayasan berberak pada bidang Pendidikan meliputi:
Mendirikan Menyelenggarakan lembaga-lembaga pendidikan yang bersifat formal dan nonformal meliputi jenjang pendidikan pra-sekolah sampai tingkat perguruan tinggi atau pascasarjana</t>
  </si>
  <si>
    <t>Rancangan tata pamong yang akan diberlakukan Institut Agama Islam (IAI) Guru Kapuh Ibnu Atha’illah (GIBTHA) bertujuan untuk membangun sistem pengelolaan yang kredibel, transparan, akuntabel, bertanggung jawab, dan adil, sesuai dengan prinsip-prinsip good university governance (GUG); indikator yg dapat diuraikan tentang pelaksanaan tata pemong kredibel terlihat dari:  (1) Kredible, terlihat seluruh proses manajerial dan akademik harus didukung oleh basis empiris (evidence-based) dan justifikasi normatif. (2) Transparan, tercerrmin pada eterbukaan informasi publik (misalnya, laporan keuangan, kebijakan SDM, dan kriteria penerimaan) tetapi juga artikulasi yang eksplisit mengenai mekanisme pengambilan keputusan. (3) Akuntable, tercermin adanya kebijakan yang jelas dan keterbukaan terhadap proses pengambilan keputusan. (4) Bertanggung jawab: secara kelembagaan IAI memiliki alur pendistribusian kerja yg sudah memada. Pilar ini bertugas memastikan institusi tetap mematuhi hukum dan bertanggung jawab secara etis. IPT harus berjalan sesuai dengan aturan yang berlaku di negara, serta lebih dari itu, menggabungkan prinsip Tanggung Jawab Sosial Institusi (TSI) atau Corporate Social Responsibility (CSR), dan (5) Adil; tercermin adanya kesetaraan perlakuan dan objektivitas dalam interaksi antara institusi dengan seluruh civitas academica dan mitra. Ini diwujudkan melalui prosedur yang imparsial dalam pengelolaan sumber daya manusia, pengadaan barang/jasa, dan penentuan hak serta kewajiban.</t>
  </si>
  <si>
    <t>Terdapat gambaran jelas tentang rancangan struktur organisasi IAI GIBTHA  terdiri dari:  1) Rektor, 2)  Wakil Rektor 123, sebagai Penyusun Kebijakan; 3) Ketua  Prodi dan Sekretaris Prodi sebagai pelaksana akademik; 4) LPM (Lembaga Penjaminan Mutu): sebagai pengawas dan penjamin mutu IAI, 5) Perpustakaan sebagai Penunjang Akademik/ Sumber Belajar, 6) Biro keuangan, Biro administrasi sebagai pelaksana administrasi. Ada penjelasan secara detail tentang jobdescription untuk masing-masing unit tersebut.</t>
  </si>
  <si>
    <t>Terdapat penjelasan secara baik dan memadai tentang  IAI GHIBTA  memiliki rancangan dokumen sistem pengelolaan yang mencakup (1) analisis jabatan dari setiap pengelola yg terpangpang dalam struktur organisasi, (2)  uraian tugas lengkap dari setiap unsur yg ada, dan (3) prosedur kerja yg menggambarkan adanya hubungan timbal balik kerja antara satu unit dg unit lainnya, atasan bawahan. Rancangan program pengembangan kompetensi manajerial berupa: Peningkatan kompetensi manajerial dilakukan dengan mengacu kepada SK Yayasan. Program pengembangan meliputi kegiatan berikut: 1) Program Peningkatan Kompetensi manajerial Pimpinan; khusus untuk peningkatan kompetensi diberikan kepada unsur pimpinan untuk semua unit kerja di lingkungan IAI; 2) Peningkatan manajemen sumber daya manusia, 3) Peningkatan manajemen keuangan, dan 4) Peningkatan manajemen sarana prasarana.</t>
  </si>
  <si>
    <t>Rancangan desiminasi/laporan hasil kerja PT secara berkala dirancang secara baik sebagai bukti pertanggungjawaban lembaga terhadap publik, merujuk pada: Standar Nasional Pendidikan Tinggi (SN-Dikti): Diseminasi merupakan bagian dari siklus Penetapan, Pelaksanaan, Evaluasi, Pengendalian, dan Peningkatan (PPEPP) dalam Sistem Penjaminan Mutu Internal (SPMI) perguruan tinggi, dan Peraturan Badan Akreditasi Nasional Perguruan Tinggi (BAN-PT).  Dokumen laporan desiminasi antara lain: 1) Menyajikan bukti otentik kepada pemangku kepentingan (internal dan eksternal) bahwa penyelenggaraan pendidikan telah memenuhi standar mutu nasional dan internasional. 2)  Evaluasi Kinerja: Mengidentifikasi kekuatan dan kelemahan institusi dengan membandingkan hasil aktual terhadap target Rencana Operasional (Renop) 2026– 2031, yang diukur melalui empat kategori indikator: Masukan, Proses, Keluaran, dan Danpak. 3) Berbasis IKU dan 9 Program Strategis sebagai landasan untuk perumusan kebijakan dan perbaikan mutu berkelanjutan.</t>
  </si>
  <si>
    <t>Terdapat 4 PS yang diusulkan untuk menyertai usulan IAI GHIBTA Kalsel. yakni: 1) Program Studi Pendidikan Bahasa Arab (PBA), 2) Program Studi Manajemen Pendidikan Islam (MPI), 3) Program Studi Pendidikan Agama Islam (PAI), dan 4) Program Studi Ekonomi Syariah (ES).</t>
  </si>
  <si>
    <r>
      <rPr>
        <sz val="11"/>
        <rFont val="Calibri (Body)"/>
      </rPr>
      <t>Terdapat NPS_B = Jumlah program studi dari rumpun ilmu agama: 4 PS, yakni:1) Program Studi Pendidikan Bahasa Arab (PBA), 2) Program Studi Manajemen Pendidikan Islam (MPI), 3) Program Studi Pendidikan Agama Islam (PAI), dan 4) Program Studi Ekonomi Syariah (ES).</t>
    </r>
    <r>
      <rPr>
        <sz val="11"/>
        <color rgb="FFFF0000"/>
        <rFont val="Calibri"/>
        <family val="2"/>
        <scheme val="minor"/>
      </rPr>
      <t xml:space="preserve">
</t>
    </r>
  </si>
  <si>
    <t>Terdapat NPS_B = Jumlah program studi dari rumpun ilmu agama: 4 PS, yakni: 1) Program Studi Pendidikan Bahasa Arab (PBA), 2) Program Studi Manajemen Pendidikan Islam (MPI), 3) Program Studi Pendidikan Agama Islam (PAI), dan 4) Program Studi Ekonomi Syariah (ES).</t>
  </si>
  <si>
    <t>Terdapat NM = NPS_ijinbaru = Jumlah program studi baru yang terakreditasi minimum (berdasarkan hasil penilaian akreditasi program studi baru):  4 PS, yakni 1) Program Studi Pendidikan Bahasa Arab (PBA), 2) Program Studi Manajemen Pendidikan Islam (MPI), 3) Program Studi Pendidikan Agama Islam (PAI), dan 4) Program Studi Ekonomi Syariah (ES).</t>
  </si>
  <si>
    <t>IAI GHIBTA sudah memiliki rancangan Sistem Monitoring dan Evaluasi (Monev) Berbasis unggul dalam menyatukan serta memadukan keimanan, Qur’an dan adab serta keilmuan. Sistem Monev ini dirancang dalam kerangka Sistem Penjaminan Mutu Internal (SPMI) Institut Agama Islam Guru Kapuh Ibnu Atha’illah (IAI GIBTHA) dengan siklus Penetapan, Pelaksanaan, Evaluasi (Monev), Pengendalian, dan Peningkatan (PPEPP) yang dilaksanakan secara konsisten oleh PPM. MASIH PERLU DIBUAT RNCANGAN DOKUMEN KEBIJAKAN MUTU,MANUAL MUTU, STANDAR MUTU, SOP, FORMULIR MUTU, dan IMPLEMENTASI PPEPP .</t>
  </si>
  <si>
    <t>IAI GIBTHA memiliki rancangan kebijakan dan pedoman kerjasama sebagaimana tertuang dalam Surat Keputusan Rektor IAI mengenai Pedoman Kerja Sama Dalam Negeri. Pedoman ini mencakup empat tahap utama, yaitu perintisan kerja sama, pengesahan, pelaksanaan, serta monitoring dan evaluasi. Dokumen pedoman ini berfungsi memastikan mutu pelaksanaan kerja sama, kesesuaian kegiatan dengan bidang keahlian perguruan tinggi dan mitra, serta produktivitas sehingga kerja sama dapat berjalan secara berkelanjutan.</t>
  </si>
  <si>
    <t>IAI GIBTHA memiliki kebijakan tentang penerimaan mahasiwa baru yg tertuang dalam Keputusan Ketua IAI Guru Kapuh Ibnu Atha’illah (GIBTHA) tentang SOP Akademik, di dalamnya berisi tentang: (1) kebijakan, ada aturan nasional dan Statuta dan Pedoman Akademik;  (2) kriteria, Kriteria seleksi mahasiswa baru, dari kriteria umum, akademik, dan non-akademik.  (3) prosedur, mulai dari pendaftaran, tes, dan penetapan lulusan dijelaskan secara detail; dan (4) mekanisme pengambilan keputusan, dijelaskan secara detail. Seleksi mahasiswa dilakukan secara internal, rekrutmen calon mahasiswa IAI Guru Kapuh Ibnu Atha’illah (GIBTHA) juga dibuka bagi masyarakat umum. (Cek kembali bukti formal dokumen yg dimiliki)</t>
  </si>
  <si>
    <t>IAI GIBTHA memiliki rancangan aturan tentang aturan pemberian firmasi yg diberikan pada calon mahasiswa baru. Dalam upaya mewujudkan keadilan dan pemerataan akses pendidikan tinggi, IAI berkomitmen untuk memberikan kesempatan belajar yang seluas-luasnya bagi seluruh lapisan masyarakat, baik dari kalangan mampu maupun kurang mampu. Untuk menopang kebijakan afirmasi mahasiswa, IAI GIBTHA  menyiapkan skema beasiswa KIP Kuliah, IAI juga menyediakan bantuan beasiswa bagi mahasiswa berprestasi maupun mahasiswa dari keluarga kurang mampu melalui kerja sama dengan lembaga sosial milik Yayasan Ibnu Atha’illah.</t>
  </si>
  <si>
    <r>
      <t xml:space="preserve">IAI GIBTHA memiliki rancangan tentang sistem pengelolaan sumber daya manusia dilaksanakan berdasarkan prinsip </t>
    </r>
    <r>
      <rPr>
        <sz val="11"/>
        <rFont val="Calibri"/>
        <family val="2"/>
        <scheme val="minor"/>
      </rPr>
      <t xml:space="preserve">berdasarkan pada Surat Keputusan Ketua Yayasan Ibnu Atha’illah; Surat Keputusan Ketua Institut Agama Islam Guru Kapuh Ibnu Atha’illah
(IAI GIBTHA); dan Surat Keputusan Ketua mengenai pedoman pengelolaan SDM Institut Agama
Islam Guru Kapuh Ibnu Atha’illah (IAI GIBTHA);. Sistem seleksi/rekrutment, penempatan, pengembangan, retensi, dan pemberhentian dosen dan tenaga kependidikan tercantum pada buku Rancangan Statuta tentang system pengelolaan sumber daya manusia, dan telah dilaksanakan secara konsisten.  </t>
    </r>
  </si>
  <si>
    <t>Terdapat NDTPS_ijinbaru = Jumlah dosen tetap pada program studi baru yang terakreditasi minimum: ada 25 orang yg disiapkan untuk 5 prodi yg diuusulkan, yakni: (1) PS Pendidikan Bahasa Arab (PBA)  an. Nurul Amini, M.Pd (S2 Pendidikan Bahasa Arab UII DALWA), Nafisah, M.Pd (S2 Pendidikan Bahasa Arab UII DALWA), Fathia Qonita, M.Pd (S2 Pendidikan Bahasa Arab UII DALWA), Nurul Jannah, M.Pd (S2 Pendidikan Bahasa Arab UII DALWA), Fahrunnisa, M.Pd  (S2 Pendidikan Bahasa Arab UII DALWA) . (2) PS Manajemen Pendidikan Islam an. Dr. Afifafh (S2 Manajemen Pendidikan Islam), Nurwahda Maghfiroh (S2 Manajemen Pendidikan), Sufi Hadi (S2 Manajemen Pendidikan Islam), Tasiah (S2 Manajemen Pendidikan Islam), Nurul Amini (S2.....), Nurul Jannah (S2 ......), Fachri Zulmi (S2 Ekonomi Syariah). 3) PS Ekonomi Syariah (ES), an. Dr. Ir. Syahrial Shaddiq, S.T., M.Eng., M.M., M.Si (S3 Ilmu Ekonomi UII), Dr. Fathurrahman, S. Ag, M. H (S3 Doktoral Ilmu Syariah UIN Antasari), Fachri Zulmi, S. E. I, M. H (S2 Ekonomi Sriah UIN Antasari), Sri Rozana Widya Astuty, S. E, M. E (S2 lmu Ekonomi UNLAM), Halidah. S. E, M. Pd (S2 Manajemen Pendidikan UII Dalwa). 4) PS Pendidikan Agama Islam (PAI), an. DR. Ahmad Suryadi, M. Pd. (S3 Dirasah Islamiyah Konsentras i Pendidikan dan Keguruan UIN Alauddin Makassar), Miftahul Ihsan, M. Pd. (S2 UIN Sunan Kalijaga Yogyakarta), Raudatul Jannah, M. Pd (S2 PAI UIN Antasari), Muhammad Hamdani, M. Pd (S2 PAI UIN Malang), Muhammad Ikhsan, S.Pd, M. Pd (S2 PAI UIN Antasari Banjarmasin).  Semua dosen yg diusulkan berstatus sebagai Dosen Tetap dan memiliki linearitas keilmuan dg program studi yg diusulkan.</t>
  </si>
  <si>
    <t>Terdapat sejumlah calon dosen tetap: 24 orang, sudah memadai dihitung dari rasio 4 PS; dilihat kualifikasi penidididikan, semua sudah S2 (Magister) dengan backgroun keilmuan yang relevan dg prodi yg diusulkan.</t>
  </si>
  <si>
    <t>Dari 24 Calon DTPS yang diusulkan, ada 4 orang dosen yang berkualifikasi pendidikan Doktor (S3).</t>
  </si>
  <si>
    <t>Ada keterangan IAI GIBTHA memiliki perencanaan pengembangan SDM Dosen meliputi: (1) Pengembangan dan Pembinaan Karir; Dalam pengembangan sumber daya manusia (dosen) mengacu pada tri dharma perguruan tinggi yaitu: Untuk studi lanjut S3 semua pengajar diberi kesempatan baik dengan biaya dari internal IAI maupun dari luar IAI sesuai dengan peraturan yang berlaku. Dalam 10 Tahun akan memberikan kesempatan pada dosen untuk kuliah S3 tiap Tahun 3-5 Dosen, sehingga dalam 10 di targetkan 60% Dosen sudah Kuliah S3. (2) Pengembangan kompetensi khusus; meliputi pembinaan intern dan ekstern melalui pimpinan prodi antara lain secara selektif dengan mempercayakan kepada dosen untuk mengkoordinir berbagai kegiatan ekstra prodi.</t>
  </si>
  <si>
    <t>Terdapat NTK = Jumlah tenaga kependidikan IAI GIBTHA  ada  5 orang untuk melayani 4 PS, keberadaan tendik masih minim; pemenuhan tendik mestinya disesuaikan dg kebutuhan sebagai: Pustakawaan, Laboran, Oprartor, dan Teknisi</t>
  </si>
  <si>
    <t xml:space="preserve">Terdapat A = Jumlah tenaga administrasi berkualifikasi minimum S-1: 5, semua lulusan S1 (sarjana); untuk melayani 4 PS </t>
  </si>
  <si>
    <t xml:space="preserve">Terdapat L = Jumlah tenaga laboran/ teknisi berkualifikasi S1/SMA: 3 orang untuk 4 PS yang diusulkan </t>
  </si>
  <si>
    <t>Terdapat A = Jumlah tenaga perpustakaan berkualifikasi minimum S-2:  0 orang tenaga perpustakaan.  KURANG TERDESKRIPSIKAN</t>
  </si>
  <si>
    <t>Sudah ada penjelasan normatif tentang  penjelasan tentang rancangan Kebijakan dan pedoman akademik IAI GIBTHA mencakup semua elemen standar pendidikan yang dirumuskan secara lengkap dengan substansi baik, seperti: (1) kompetensi lulusan, (2) isi pembelajaran, (3) proses pembelajaran, (4) penilaian pembelajaran, (5) dosen dan tenaga kependidikan, (6) sarana dan prasarana pembelajaran, (7) pengelolaan pembelajaran, dan (8) pembiayaan pembelajaran. Penjelasannya masih normatif, karena memang belum dilaksanakan. (cek kembali saat visitasi)</t>
  </si>
  <si>
    <r>
      <t xml:space="preserve">Kebijakan IAI GIBTHA dalam pengembangan kurikulum didasarkan pada STATUTA dan Panduan Akademik IAI berdasarkan SK Nomor :............... harus mendukung terhadap pengembangan Kurikulum tingkat perguruan tinggi. Didalamnya ada penjelasan tentang rancangan: (1) kebijakan, (2) pedoman pengembangan kurikulum, dan (3) unit kerja/ fungsi organisasi yang memfasilitasi program studi untuk melakukan kegiatan  pengembangan kurikulum. </t>
    </r>
    <r>
      <rPr>
        <sz val="11"/>
        <color rgb="FFFF0000"/>
        <rFont val="Calibri (Body)"/>
      </rPr>
      <t xml:space="preserve"> </t>
    </r>
  </si>
  <si>
    <t xml:space="preserve">IAI GIBTHAmelaksanakan kebebasan akademik, kebebasan mimbar akademik, dan otonomi keilmuan melalui pengaturan atas jaminan pengakuan, penghormatan, dan pemenuhan hal itu secara eksplisit tertuang dalam SK ......... di dalamnya  memuat Kebijakan Akademik STAI, Peraturan Akademik  bidang Pendidikan, Penelitian, dan Pengabdian kepada Masyarakat, Standar Akademik, dan Renstra, didalamnya mengatur ketiga unsur suasana akademik yang dinyatakan secara jelas yang mencakup unsur: (1) kebebasan akademik, (2) kebebasan mimbar akademik, dan (3) otonomi keilmuan. Walaupun penjelasannya normatif. Masing-masing dijelaskan cukup memadai, dengan data cukup. </t>
  </si>
  <si>
    <t>Ada penjelasan normatif  IAI GIBTHA memiliki rancangan kebijakan penelitian berupa berdasarkan Buku Panduan Penelitian IAI  yang dikuatkan dengan SK Ketua tentang penelitian  yang mencakup semua elemen standar penelitian yang dirumuskan secara lengkap dengan substansi baik.  Lembaga sudah memeiliki konsep aturanmeliputi:  Rencana Induk Penelitian (RIP) dan Rencana Strategis (Renstra) Pengabdian Kepada Masyarakat, Pedoman Pelaksanaan Penelitian Dan Pengabdian Kepada Masyarakat, Penetapan Roadmap Penelitian dan Pengabdian, dan Pembentukan Kelompok Riset (cek kembali saat visitasi)</t>
  </si>
  <si>
    <t xml:space="preserve">IAI GIBTHA yang diusulkan yang memiliki rancangan kebijakan PkM berupa buku panduan pengabdian SK .......... tentang PkM yang mencakup semua elemen standar PkM yang dirumuskan secara  cukup baik. Lembaga sudah memeiliki konsep aturanmeliputi:  Rencana Induk Penelitian (RIP) dan Rencana Strategis (Renstra) Pengabdian Kepada Masyarakat, Pedoman Pelaksanaan Penelitian Dan Pengabdian Kepada Masyarakat, Penetapan Roadmap Penelitian dan Pengabdian, dan Pembentukan Kelompok Riset.  </t>
  </si>
  <si>
    <t>Lahan kampus yg dimimilki IAI GIBTHA  = 22142 m2, beralamat:  Desa Wasah Tengah, RT 004 RW 002, Kecamatan Simpur, Kabupaten Hulu Sungai Selatan, Provinsi Kalimantan Selatan, status MILIK SENDIRI dan BELUM BERSERTIFIKAT</t>
  </si>
  <si>
    <t>Lahan kampus yg dimiliki sudah sangat memadai, Berlokasi beralamat:  DDesa Wasah Tengah, RT 004 RW 002, Kecamatan Simpur, Kabupaten Hulu Sungai Selatan, Provinsi Kalimantan Selatan</t>
  </si>
  <si>
    <t>Status tanah MILIK SENDIRI (klarifikasi saat AL)</t>
  </si>
  <si>
    <t>Luas ruang kuliah 224 m2, minimal 600 m2 (perlu korfirmas)</t>
  </si>
  <si>
    <t>Ruang dosen luas 56 m2, minmal 180 m2 (perlu konfirmasi)</t>
  </si>
  <si>
    <t>Tersedia luas ruang administrasi dengan luas: 56 m2, minimal 60 m2 (perlu konfirmasi)</t>
  </si>
  <si>
    <t>Ruang perpustakaan luas  450 m2 (perlu konfirmasi)</t>
  </si>
  <si>
    <t>Disebutkan ada 5 ruang Laboratorium untuk persiapan 4 PS, yakni Laboratorium Micro Teaching, Laboratorium Bahasa, Laboratorium Komputer, Laboratorium Mini Perbankan, Laboratorium Sidang Semu, dan Laboratoriumibadah; semua memiliki luas 56 m2, dalam kondisi terawat baik.</t>
  </si>
  <si>
    <t>Untuk 4 PS yakni: PBA, Manajemen Pendidikan Islam, Ekonomi Syariah dan PAI memiliki koleksi buku 1750 judul</t>
  </si>
  <si>
    <t xml:space="preserve">IAI GIBTHA memiliki 1750 judul buku untuk 4 PS yang diusulkan. </t>
  </si>
  <si>
    <t>Ada penjelasan jurnal ilmiah untuk 4 PS yang diusulkan sebanyak 20 judul</t>
  </si>
  <si>
    <t>Koleksi atau akses jurnal (terakreditasi) ada 4 jurnal. CEK KEMBALI</t>
  </si>
  <si>
    <t xml:space="preserve">Tersedia Sarana dan prasarana cukup untuk IAI GIBTHA, dengan kuantitas dan kualitas yang  baik untuk penyelenggaraan kegiatan pembelajaran dan kegiatan penunjang pembelajaran. Anatara lain: Ruang Perkuliahan, Ruang Lab. Komputer, Ruang PK, Bahasa, Sarana Olahraga, Ruang ketua, Ruang Tata Usaha, Ruang Perpustakaan, Tempat Ibadah, Tempat Parkir, dan dan taman. </t>
  </si>
  <si>
    <t>Masih kurang ada penjelasan secara lengkap tentang rancangan ssistem pengelolaan</t>
  </si>
  <si>
    <t>IAI GIBTHA memilki konsep rencana induk pengembangan lahan dan prasarana pembelajaran, Dasar Kebijakan dalam pengembangan sarana dan prasarana di lingkungan IAI  didasarkan pada: SK ........, didalamnya berisi aturan tentang Sistem Informasi, Sarpras, Aspek Pengelolaan Sarpras, Kebutuhan Hardware, Kebutuhan Software, E-procurement, dan  SIM Sarpras. Hal ini dilakukan adalah dalam upaya mendukung tercapainya visi dan misi lembaga.</t>
  </si>
  <si>
    <t>IAI GIBTHA  memilki konsep rencana induk pengembangan sarana pembelajaran berdasarkan pada: SK ......, didalamnya berisi aturan tentang Sistem Informasi, Sarpras, Aspek Pengelolaan Sarpras, Kebutuhan Hardware, Kebutuhan Software, E-procurement, dan  SIM Sarpras. Hal ini dilakukan adalah dalam upaya mendukung tercapainya visi dan misi lembaga.</t>
  </si>
  <si>
    <t>Yayasan Ibnu Atha’illah merupakan organisasi yang mendukung santri Ibnu Atha’illah, yang terbagi dalam lima departemen, yaitu 1) Departemen Humas, yang fokus pada interaksi masyarakat baik secara daring maupun luring, serta kerjasama dengan pihak- pihak di luar Pondok Pesantren Ibnu Atha’illah. 2) Departemen Dakwah, yang berhubungan dengan pengajaran kitab kuning di daerah atau kabupaten, serta para da’i yang siap untuk menyebarluaskan dakwah Islam ke berbagai penjuru. 3) Departemen Pendidikan dan Pelatihan, yang berhubungan dengan pendampingan organisasi dan pengembangan pendidikan di Pondok Pesantren Ibnu Atha’illah di berbagai lokasi, termasuk juga pendirian perguruan tinggi Institut Agama Islam (IAI) Guru Kapuh Ibnu Atha’illah (GIBTHA). 4) Departemen Ekonomi dan Bisnis, yang terlibat dalam kemandirian dan usaha lembaga. 5) Departemen Sekretariat, yang bertanggung jawab untuk mendata alumni santri dari Pondok Pesantren Ibnu Atha’illah. Jumlah Aset lembaga yg dimilki saat ini Rp. 4.706.457.247</t>
  </si>
  <si>
    <t>Laporan keuangan Yayasan untuk tahun yang berakhir per 31 desember 2025 sebagaimana terlampir yang terdiri dari
a) Laporan posisi keuangan
b) Laporan aktivitas
c) Laporan arus kas
d) Catatan atas laporan keuangan</t>
  </si>
  <si>
    <t>IAI GIBTHA memiliki kebijakan pengelolaan dana yang mencakup aspek: (1) Rencana penerimaan dan pengalokasian, (2) Penyerapan dan penggunaan, (3) Monitoring &amp; evaluasi, (4) Pelaporan, (5) Audit, dan (6) Pertanggungjawaban kepada pemangku kepentingan, serta mekanisme yang mengatur keterlibatan seluruh unit kerja dalam pengelolaan dana institusi.</t>
  </si>
  <si>
    <t>Proyeksi Arus Kas: IAI GIBTHA sudah menunjukkan sirkulasi keuangan secara:  (1) rinci, (2) lengkap, (3) realistik, (4) logis, dan (5) konsisten dengan analisis pada studi kelayakan, serta tidak ada saldo negatif, dan dilengkapi dengan dokumen pendukung, terutama untuk pengeluaran investasi pembangunan gedung dan peralatan pendidikan. Jumlah Pendapatan tahun 2025 Rp. 29.900.095.122, Posisi keuangan, kegiatan finansial dan laporan aliran kas finansial Yayasan Ibnu Atha’illah dalam mendukung operasi perguruan tinggi yang aman dan sehat</t>
  </si>
  <si>
    <t>Ada informasi tentang rencana penerimaan dari sumber mahasiswa Rp. 8.190.000.000, dari total  keseluruhan dana mmasuk yakni: Rp. 45,634,357,188</t>
  </si>
  <si>
    <t>IAI GIBTHA memiliki rencana penggunaan dana yang realistik untuk penyelenggaraan proses pembelajaran, penelitian dan PkM seluruh program studi dan rencana investasi yang memadai selama minimal 3 tahun ke depan</t>
  </si>
  <si>
    <t xml:space="preserve">Data sudah dikonfirmasi: Rencana Induk Pengembangan (RIP) IAI Guru Kapuh Ibnu Atha’illah (GHIBTA) 2025–2047 dijelaskan arah pengembangan lembaga menuju visi tahun 2047 dengan uraian sebagai berikut: Pertama, Tahap Forming, Established Institute. tahun 2032 IAI Guru Kapuh Ibnu Atha’illah (GHIBTA) bertransformasi menjadi Institut Agama Islam (IAI) Guru Kapuh Ibnu Atha’illah (GHIBTA). Kedua, Tahap Growing tahun 2032 menuju Universitas yang unggul dalam menghasilkan Ulama, Umaro dan Cendekiawan Muslim Dunia. </t>
  </si>
  <si>
    <t>Data terkonfirmasi: Penyelenggara Institut Agama Islam (IAI) Guru Kapuh Ibnu Atha’illah (GIBTHA) adalah Lembaga Pendidikan Yayasan Ibnu Athaillah Indonesia dengan telah terdaftar di Notaris MARIA SEPTIANI SOFIA, SH., M.KN. tercatat SK. MENKEH &amp; HAM RI No AHU-08705.50.10.2014. TANGGAL 06 NOVEMBER 2014</t>
  </si>
  <si>
    <t>Data sudah dikonfirmasi: Badan Penyelenggara telah memiliki Surat Keputusan Pejabat Berwenang daro Kemenkumham melelui Notaris: MARIA SEPTIANI SOFIA, SH., M.KN.
NOTARIS. PPAT, SK. MENKEH &amp; HAM RI No. AHU-08705.50.10.2014. TANGGAL 06 NOVEMBER 2014 PENGESAHAN PENDIRIAN YAYASAN IBNU ATHA’ILLAH TANGGAL : 06 November 2014. Pada Pasal 3 disebutkan: Yayasan berberak pada bidang Pendidikan meliputi:
Mendirikan Menyelenggarakan lembaga-lembaga pendidikan yang bersifat formal dan nonformal meliputi jenjang pendidikan pra-sekolah sampai tingkat perguruan tinggi atau pascasarjana</t>
  </si>
  <si>
    <t>Data sudah dikonfirmasi: Rancangan tata pamong yang akan diberlakukan Institut Agama Islam (IAI) Guru Kapuh Ibnu Atha’illah (GIBTHA) bertujuan untuk membangun sistem pengelolaan yang kredibel, transparan, akuntabel, bertanggung jawab, dan adil, sesuai dengan prinsip-prinsip good university governance (GUG); indikator yg dapat diuraikan tentang pelaksanaan tata pemong kredibel terlihat dari:  (1) Kredible, terlihat seluruh proses manajerial dan akademik harus didukung oleh basis empiris (evidence-based) dan justifikasi normatif. (2) Transparan, tercerrmin pada eterbukaan informasi publik (misalnya, laporan keuangan, kebijakan SDM, dan kriteria penerimaan) tetapi juga artikulasi yang eksplisit mengenai mekanisme pengambilan keputusan. (3) Akuntable, tercermin adanya kebijakan yang jelas dan keterbukaan terhadap proses pengambilan keputusan. (4) Bertanggung jawab: secara kelembagaan IAI memiliki alur pendistribusian kerja yg sudah memada. Pilar ini bertugas memastikan institusi tetap mematuhi hukum dan bertanggung jawab secara etis. IPT harus berjalan sesuai dengan aturan yang berlaku di negara, serta lebih dari itu, menggabungkan prinsip Tanggung Jawab Sosial Institusi (TSI) atau Corporate Social Responsibility (CSR), dan (5) Adil; tercermin adanya kesetaraan perlakuan dan objektivitas dalam interaksi antara institusi dengan seluruh civitas academica dan mitra. Ini diwujudkan melalui prosedur yang imparsial dalam pengelolaan sumber daya manusia, pengadaan barang/jasa, dan penentuan hak serta kewajiban.</t>
  </si>
  <si>
    <t>Fakta Lapangan dan sesuai hasil konfirmasi:  Terdapat gambaran jelas tentang rancangan struktur organisasi IAI GIBTHA  terdiri dari:  1) Rektor, 2)  Wakil Rektor 123, sebagai Penyusun Kebijakan; 3) Ketua  Prodi dan Sekretaris Prodi sebagai pelaksana akademik; 4) LPM (Lembaga Penjaminan Mutu): sebagai pengawas dan penjamin mutu IAI, 5) Perpustakaan sebagai Penunjang Akademik/ Sumber Belajar, 6) Biro keuangan, Biro administrasi sebagai pelaksana administrasi. Ada penjelasan secara detail tentang jobdescription untuk masing-masing unit tersebut.</t>
  </si>
  <si>
    <t>Sesuai data di lapangan, Terdapat penjelasan secara baik dan memadai tentang  IAI GHIBTA  memiliki rancangan dokumen sistem pengelolaan yang mencakup (1) analisis jabatan dari setiap pengelola yg terpangpang dalam struktur organisasi, (2)  uraian tugas lengkap dari setiap unsur yg ada, dan (3) prosedur kerja yg menggambarkan adanya hubungan timbal balik kerja antara satu unit dg unit lainnya, atasan bawahan. Rancangan program pengembangan kompetensi manajerial berupa: Peningkatan kompetensi manajerial dilakukan dengan mengacu kepada SK Yayasan. Program pengembangan meliputi kegiatan berikut: 1) Program Peningkatan Kompetensi manajerial Pimpinan; khusus untuk peningkatan kompetensi diberikan kepada unsur pimpinan untuk semua unit kerja di lingkungan IAI; 2) Peningkatan manajemen sumber daya manusia, 3) Peningkatan manajemen keuangan, dan 4) Peningkatan manajemen sarana prasarana.</t>
  </si>
  <si>
    <t>Secara Fakta di lapangan: Rancangan desiminasi/laporan hasil kerja PT secara berkala dirancang secara baik sebagai bukti pertanggungjawaban lembaga terhadap publik, merujuk pada: Standar Nasional Pendidikan Tinggi (SN-Dikti): Diseminasi merupakan bagian dari siklus Penetapan, Pelaksanaan, Evaluasi, Pengendalian, dan Peningkatan (PPEPP) dalam Sistem Penjaminan Mutu Internal (SPMI) perguruan tinggi, dan Peraturan Badan Akreditasi Nasional Perguruan Tinggi (BAN-PT).  Dokumen laporan desiminasi antara lain: 1) Menyajikan bukti otentik kepada pemangku kepentingan (internal dan eksternal) bahwa penyelenggaraan pendidikan telah memenuhi standar mutu nasional dan internasional. 2)  Evaluasi Kinerja: Mengidentifikasi kekuatan dan kelemahan institusi dengan membandingkan hasil aktual terhadap target Rencana Operasional (Renop) 2026– 2031, yang diukur melalui empat kategori indikator: Masukan, Proses, Keluaran, dan Danpak. 3) Berbasis IKU dan 9 Program Strategis sebagai landasan untuk perumusan kebijakan dan perbaikan mutu berkelanjutan.</t>
  </si>
  <si>
    <t>Fakta Lapangan: Terdapat 4 PS yang diusulkan untuk menyertai usulan IAI GHIBTA Kalsel. yakni: 1) Program Studi Pendidikan Bahasa Arab (PBA), 2) Program Studi Manajemen Pendidikan Islam (MPI), 3) Program Studi Pendidikan Agama Islam (PAI), dan 4) Program Studi Ekonomi Syariah (ES).</t>
  </si>
  <si>
    <t>Fakta Lapangan: Terdapat NPS_B = Jumlah program studi dari rumpun ilmu agama: 4 PS, yakni:1) Program Studi Pendidikan Bahasa Arab (PBA), 2) Program Studi Manajemen Pendidikan Islam (MPI), 3) Program Studi Pendidikan Agama Islam (PAI), dan 4) Program Studi Ekonomi Syariah (ES).</t>
  </si>
  <si>
    <t>Fakta Lapangan:  Terdapat NPS_B = Jumlah program studi dari rumpun ilmu agama: 4 PS, yakni: 1) Program Studi Pendidikan Bahasa Arab (PBA), 2) Program Studi Manajemen Pendidikan Islam (MPI), 3) Program Studi Pendidikan Agama Islam (PAI), dan 4) Program Studi Ekonomi Syariah (ES).</t>
  </si>
  <si>
    <t>Fakta Lapangan: Terdapat NM = NPS_ijinbaru = Jumlah program studi baru yang terakreditasi minimum (berdasarkan hasil penilaian akreditasi program studi baru):  4 PS, yakni 1) Program Studi Pendidikan Bahasa Arab (PBA), 2) Program Studi Manajemen Pendidikan Islam (MPI), 3) Program Studi Pendidikan Agama Islam (PAI), dan 4) Program Studi Ekonomi Syariah (ES).</t>
  </si>
  <si>
    <t>Data sudah dikonfirmasi: IAI GIBTHA memiliki rancangan kebijakan dan pedoman kerjasama sebagaimana tertuang dalam Surat Keputusan Rektor IAI mengenai Pedoman Kerja Sama Dalam Negeri. Pedoman ini mencakup empat tahap utama, yaitu perintisan kerja sama, pengesahan, pelaksanaan, serta monitoring dan evaluasi. Dokumen pedoman ini berfungsi memastikan mutu pelaksanaan kerja sama, kesesuaian kegiatan dengan bidang keahlian perguruan tinggi dan mitra, serta produktivitas sehingga kerja sama dapat berjalan secara berkelanjutan.</t>
  </si>
  <si>
    <t xml:space="preserve">Data sudah dikonfirmasi: IAI GIBTHA memiliki kebijakan tentang penerimaan mahasiwa baru yg tertuang dalam Keputusan Ketua IAI Guru Kapuh Ibnu Atha’illah (GIBTHA) tentang SOP Akademik, di dalamnya berisi tentang: (1) kebijakan, ada aturan nasional dan Statuta dan Pedoman Akademik;  (2) kriteria, Kriteria seleksi mahasiswa baru, dari kriteria umum, akademik, dan non-akademik.  (3) prosedur, mulai dari pendaftaran, tes, dan penetapan lulusan dijelaskan secara detail; dan (4) mekanisme pengambilan keputusan, dijelaskan secara detail. Seleksi mahasiswa dilakukan secara internal, rekrutmen calon mahasiswa IAI Guru Kapuh Ibnu Atha’illah (GIBTHA) juga dibuka bagi masyarakat umum.  </t>
  </si>
  <si>
    <t>Berdasarkan konfirmasi di lapangan: IAI GIBTHA memiliki rancangan aturan tentang aturan pemberian firmasi yg diberikan pada calon mahasiswa baru. Dalam upaya mewujudkan keadilan dan pemerataan akses pendidikan tinggi, IAI berkomitmen untuk memberikan kesempatan belajar yang seluas-luasnya bagi seluruh lapisan masyarakat, baik dari kalangan mampu maupun kurang mampu. Untuk menopang kebijakan afirmasi mahasiswa, IAI GIBTHA  menyiapkan skema beasiswa KIP Kuliah, IAI juga menyediakan bantuan beasiswa bagi mahasiswa berprestasi maupun mahasiswa dari keluarga kurang mampu melalui kerja sama dengan lembaga sosial milik Yayasan Ibnu Atha’illah.</t>
  </si>
  <si>
    <t xml:space="preserve">Fakta Lapangan;  IAI GIBTHA memiliki rancangan tentang sistem pengelolaan sumber daya manusia dilaksanakan berdasarkan prinsip berdasarkan pada Surat Keputusan Ketua Yayasan Ibnu Atha’illah; Surat Keputusan Ketua Institut Agama Islam Guru Kapuh Ibnu Atha’illah (IAI GIBTHA); dan Surat Keputusan Ketua mengenai pedoman pengelolaan SDM Institut Agama Islam Guru Kapuh Ibnu Atha’illah (IAI GIBTHA);. Sistem seleksi/rekrutment, penempatan, pengembangan, retensi, dan pemberhentian dosen dan tenaga kependidikan tercantum pada buku Rancangan Statuta tentang system pengelolaan sumber daya manusia, dan telah dilaksanakan secara konsisten.  </t>
  </si>
  <si>
    <t>Data sudah terkonfirmasi: Terdapat sejumlah calon dosen tetap: 24 orang, sudah memadai dihitung dari rasio 4 PS; dilihat kualifikasi penidididikan, semua sudah S2 (Magister) dengan backgroun keilmuan yang relevan dg prodi yg diusulkan.</t>
  </si>
  <si>
    <t>Data sudah terkonfirmasi: Dari 24 Calon DTPS yang diusulkan, ada 4 orang dosen yang berkualifikasi pendidikan Doktor (S3).</t>
  </si>
  <si>
    <t>Fakta Lapangan, data sudah dikonfirmasi: Ada keterangan IAI GIBTHA memiliki perencanaan pengembangan SDM Dosen meliputi: (1) Pengembangan dan Pembinaan Karir; Dalam pengembangan sumber daya manusia (dosen) mengacu pada tri dharma perguruan tinggi yaitu: Untuk studi lanjut S3 semua pengajar diberi kesempatan baik dengan biaya dari internal IAI maupun dari luar IAI sesuai dengan peraturan yang berlaku. Dalam 10 Tahun akan memberikan kesempatan pada dosen untuk kuliah S3 tiap Tahun 3-5 Dosen, sehingga dalam 10 di targetkan 60% Dosen sudah Kuliah S3. (2) Pengembangan kompetensi khusus; meliputi pembinaan intern dan ekstern melalui pimpinan prodi antara lain secara selektif dengan mempercayakan kepada dosen untuk mengkoordinir berbagai kegiatan ekstra prodi.</t>
  </si>
  <si>
    <t>Data sudah terkonfirmasi: Terdapat NTK = Jumlah tenaga kependidikan IAI GIBTHA  ada  8 orang untuk melayani 4 PS, keberadaan tendik masih minim; pemenuhan tendik mestinya disesuaikan dg kebutuhan sebagai: Pustakawaan, Laboran, Oprartor, dan Teknisi.  Untuk setiap PS masing-masing 2 orang</t>
  </si>
  <si>
    <t xml:space="preserve">Data sudah terkonfirmasi: Terdapat A = Jumlah tenaga administrasi berkualifikasi minimum S-1: 5, semua lulusan S1 (sarjana); untuk melayani 4 PS </t>
  </si>
  <si>
    <t xml:space="preserve">Data sudah terkonfirmasi: Terdapat L = Jumlah tenaga laboran/ teknisi berkualifikasi S1/SMA: 3 orang untuk 4 PS yang diusulkan, an. Siti Khodijah (S1 UII Dalwa), Muzara (S1 PAI DU Kandangan), Khoirotunnisa (S1 PAI UII Dalwa) </t>
  </si>
  <si>
    <t xml:space="preserve">Fakta Lapangan, sata sudah terkonfirmasi: Terdapat A = Jumlah tenaga perpustakaan berkualifikasi minimum S-2:  0 orang tenaga perpustakaan. An. Yulianita Anggraini, S1 UT jurusan Ilmu Perpustakaan  </t>
  </si>
  <si>
    <t>Data sudah terkonfirmasi: Sudah ada penjelasan normatif tentang  penjelasan tentang rancangan Kebijakan dan pedoman akademik IAI GIBTHA mencakup semua elemen standar pendidikan yang dirumuskan secara lengkap dengan substansi baik, seperti: (1) kompetensi lulusan, (2) isi pembelajaran, (3) proses pembelajaran, (4) penilaian pembelajaran, (5) dosen dan tenaga kependidikan, (6) sarana dan prasarana pembelajaran, (7) pengelolaan pembelajaran, dan (8) pembiayaan pembelajaran. Penjelasannya masih normatif, karena memang belum dilaksanakan. (cek kembali saat visitasi)</t>
  </si>
  <si>
    <t>Data sudah terkonfirmasi: Kebijakan IAI GIBTHA dalam pengembangan kurikulum didasarkan pada STATUTA dan Panduan Akademik IAI berdasarkan aturan harus mendukung terhadap pengembangan Kurikulum tingkat perguruan tinggi. Didalamnya ada penjelasan tentang rancangan: (1) kebijakan, (2) pedoman pengembangan kurikulum, dan (3) unit kerja/ fungsi organisasi yang memfasilitasi program studi untuk melakukan kegiatan  pengembangan kurikulum.  Beberapa kebijakan pendukung sbb: 1. Kebijakan :
https://drive.google.com/file/d/1Cxthul2Ws rmOpRo5a7hgrTFAn0puwytq/view?usp=sharing
 2. Pedoman Pengembangan Kurikulum :
https://drive.google.com/file/d/1a89cz91dx mKr49JIrgycjzdHL5hzSvwg/view?usp=drive_l ink. 3. Unit Kerja Fungsi Pengembangan Kurikulum:
https://drive.google.com/file/d/14Bmh6h- wmTJkDxLn3S7e0kWIARIJZX9M/view?usp=drive_
  link</t>
  </si>
  <si>
    <t>Data sudah terkonfirmasi: IAI GIBTHA melaksanakan kebebasan akademik, kebebasan mimbar akademik, dan otonomi keilmuan melalui pengaturan atas jaminan pengakuan, penghormatan, dan pemenuhan hal itu secara eksplisit tertuang dalam aturan yg lengkap di dalamnya  memuat Kebijakan Akademik IAI, Peraturan Akademik  bidang Pendidikan, Penelitian, dan Pengabdian kepada Masyarakat, Standar Akademik, dan Renstra, didalamnya mengatur ketiga unsur suasana akademik yang dinyatakan secara jelas yang mencakup unsur: (1) kebebasan akademik, (2) kebebasan mimbar akademik, dan (3) otonomi keilmuan. Walaupun penjelasannya normatif. Masing-masing dijelaskan cukup memadai, dengan data cukup. Link pendukung sbb: https://drive.google.com/file/d/1a89cz91dxmKr49JIrg
 ycjzdHL5hzSvwg/view?usp=sharing. Termasuk link kebebasan akademik: https://drive.google.com/file/d/1j1yBVFIMWKl0pvIs
 KI2iqHwopQ1QSZ6I/view SK UKM:
  4. RPS PAI: https://drive.google.com/file/d/1W- bL4QAhSv96y8mPxWGZ3yoTSpyjwPP_/view?usp=
  drive_link RPS MPI: https://drive.google.com/file/d/13utlWryBgo3ZdmaTb
 3b138rNPrcklVj7/view?usp=drive_link RPS PBA: https://drive.google.com/file/d/12Tr6sSW85MNNKk T o8InaY emN700cDZnV/view?usp=drive_linkhttps://
  drive.google.com/file/d/12Tr6sSW85MNNKkTo8Ina YemN700cDZnV/view?usp=drive_link RPS HES:</t>
  </si>
  <si>
    <t xml:space="preserve">Data sudah terkonfirmasi: Ada penjelasan normatif  IAI GIBTHA memiliki rancangan kebijakan penelitian berupa berdasarkan Buku Panduan Penelitian IAI  yang dikuatkan dengan SK Ketua tentang penelitian  yang mencakup semua elemen standar penelitian yang dirumuskan secara lengkap dengan substansi baik.  Lembaga sudah memeiliki konsep aturanmeliputi:  Rencana Induk Penelitian (RIP) dan Rencana Strategis (Renstra) Pengabdian Kepada Masyarakat, Pedoman Pelaksanaan Penelitian Dan Pengabdian Kepada Masyarakat, Penetapan Roadmap Penelitian dan Pengabdian, dan Pembentukan Kelompok Riset. Data pendukung berupa, RIP Penelitian: 1. RIP: Rencana Induk Penelitian :
https://docs.google.com/document/d/1liSA yXQzLiQtRz93zixAk3ZbLX- KAHy_/edit?usp=drive_link&amp;ouid=10220652. 2 Restra Penelitian dan Pengabdian: https://drive.google.com/file/d/1lTY_TU8HY n0SP5XBQxsXe2PAh6DtcjtA/view?usp=drive_link. Pedoman Penelitain: https://docs.google.com/document/d/1ojAz. Roadmap Penelitian: e8xYYshQ38bAC8tQVdOb4BXQ_rm3N. Roadmap penelitian dan PKm: https://docs.google.com/document/d/18Bf. UKM Riset: https://drive.google.com/file/d/14pXZfyjySlKfZzoMC
 </t>
  </si>
  <si>
    <t xml:space="preserve">Data sudah terkonfirmasi: IAI GIBTHA yang diusulkan yang memiliki rancangan kebijakan PkM berupa buku panduan pengabdian tentang PkM yang mencakup semua elemen standar PkM yang dirumuskan secara secara baik. Lembaga sudah memeiliki konsep aturanmeliputi:  Rencana Induk Penelitian (RIP) dan Rencana Strategis (Renstra) Pengabdian Kepada Masyarakat, Pedoman Pelaksanaan Penelitian Dan Pengabdian Kepada Masyarakat, Penetapan Roadmap Penelitian dan Pengabdian, dan Pembentukan Kelompok Riset.  Data pendukung berupa, RIP Penelitian: 1. RIP: Rencana Induk Penelitian :
https://docs.google.com/document/d/1liSA yXQzLiQtRz93zixAk3ZbLX- KAHy_/edit?usp=drive_link&amp;ouid=10220652. 2 Restra Penelitian dan Pengabdian: https://drive.google.com/file/d/1lTY_TU8HY n0SP5XBQxsXe2PAh6DtcjtA/view?usp=drive_link. Pedoman Penelitain: https://docs.google.com/document/d/1ojAz. Roadmap Penelitian: e8xYYshQ38bAC8tQVdOb4BXQ_rm3N. Roadmap penelitian dan PKm: https://docs.google.com/document/d/18Bf. UKM Riset: https://drive.google.com/file/d/14pXZfyjySlKfZzoMC  </t>
  </si>
  <si>
    <t>Fakta Lapangan: Berdasarkan hasil verifikasi lapangan saat visitasi, Institut Agama Islam (IAI) GIBTHA memiliki lahan kampus seluas 22.142 m² yang beralamat di Desa Wasah Tengah RT 004 RW 002, Kecamatan Simpur, Kabupaten Hulu Sungai Selatan, Provinsi Kalimantan Selatan. Lahan tersebut berstatus milik sendiri dan saat ini belum bersertifikat. Data terkait luas, alamat, dan status kepemilikan lahan telah diperbarui sesuai dengan kondisi dan informasi terbaru yang disampaikan oleh institusi pada saat visitasi. Adapun bukti yakni surat keterangan dari Notaris: https://drive.google.com/file/d/1XiG5H4JlDrpRdyG8U5Dj7tGMzrA4SUUu/view?usp=drive_link</t>
  </si>
  <si>
    <t>Fakta Lapangan: Lahan kampus yg dimiliki sudah sangat memadai, Berlokasi beralamat:  DDesa Wasah Tengah, RT 004 RW 002, Kecamatan Simpur, Kabupaten Hulu Sungai Selatan, Provinsi Kalimantan Selatan</t>
  </si>
  <si>
    <t>Fakta Lapangan: Berdasarkan hasil klarifikasi pada saat asesmen lapangan (AL), status tanah yang dimiliki oleh Institut Agama Islam (IAI) GIBTHA adalah milik sendiri. Data terkait status kepemilikan lahan tersebut telah diperbarui sesuai dengan kondisi dan informasi saat di lapangan, bukti link notaris:  https://drive.google.com/file/d/1XiG5H4JlDrpRdyG8U5Dj7tGMzrA4SUUu/view?usp=drive_link</t>
  </si>
  <si>
    <t xml:space="preserve">Fakta Lapangan: Luas ruang kuliah 660 m2; ada 22 robongan belajar di beberapa lokal </t>
  </si>
  <si>
    <t>Fakta Lapangan: Ruang dosen luas 190 m2, ruang tersedia lengkap</t>
  </si>
  <si>
    <t>Fakta Lapangan: Tersedia luas ruang administrasi dengan luas: 72 m2, kondisi ruang tersedia</t>
  </si>
  <si>
    <t xml:space="preserve">Fakta Lapangan: Ruang perpustakaan tersedia lengkap dengan desain ruangan dan isi buku yg lengkap; luas  450 m2, </t>
  </si>
  <si>
    <t>Disebutkan ada 5 ruang Laboratorium untuk persiapan 4 PS, yakni Laboratorium Micro Teaching, Laboratorium Bahasa, Laboratorium Komputer, Laboratorium Mini Perbankan, Laboratorium Sidang Semu, dan Laboratoriumibadah; semua memiliki luas 72 m2, dalam kondisi terawat baik.</t>
  </si>
  <si>
    <t>Fakta Lapangan: Untuk 4 PS yakni: PBA, Manajemen Pendidikan Islam, Ekonomi Syariah dan PAI memiliki koleksi buku 1750 judul, semua buku relevan dengan bidang keilmuan prodi yg diusulkan</t>
  </si>
  <si>
    <t>Data sudah terkonfirmasi: IAI GIBTHA memiliki 1750 judul buku untuk 4 PS yang diusulkan; semua buku relevan dengan bidang keilmuan prodi yg diusulkan</t>
  </si>
  <si>
    <t>Data sudah terkonfirmasi: Ada penjelasan jurnal ilmiah untuk 4 PS yang diusulkan sebanyak 20 judul</t>
  </si>
  <si>
    <t>Fakta Lapangan: Koleksi atau akses jurnal (terakreditasi) ada 4 jurnal; ada akses jurnal yg disiapkan sebagai referensi digital mahasiswa</t>
  </si>
  <si>
    <t xml:space="preserve">Fakta Lapangan: Tersedia Sarana dan prasarana cukup untuk IAI GIBTHA, dengan kuantitas dan kualitas yang  baik untuk penyelenggaraan kegiatan pembelajaran dan kegiatan penunjang pembelajaran. Anatara lain: Ruang Perkuliahan, Ruang Lab. Komputer, Ruang PK, Bahasa, Sarana Olahraga, Ruang ketua, Ruang Tata Usaha, Ruang Perpustakaan, Tempat Ibadah, Tempat Parkir, dan dan taman. </t>
  </si>
  <si>
    <t>Data telah dikonfirmasi, namun masih diperlukan penjelasan yang lebih lengkap dan komprehensif terkait rancangan sistem pengelolaan yang diterapkan. Oleh karena itu, diperlukan pembaruan dan pelengkapan data agar sesuai dengan kebutuhan asesmen lapangan.</t>
  </si>
  <si>
    <t>Data Terkonfirmasi: IAI GIBTHA memiliki konsep rencana induk pengembangan lahan dan prasarana pembelajaran. Dasar kebijakan dalam pengembangan sarana dan prasarana di lingkungan IAI GIBTHA mengacu pada Surat Keputusan (SK) yang memuat ketentuan terkait sistem informasi, sarana dan prasarana, aspek pengelolaan sarana dan prasarana, kebutuhan hardware, kebutuhan software, e-procurement, serta Sistem Informasi Manajemen (SIM) sarana dan prasarana. Kebijakan tersebut disusun sebagai upaya mendukung pencapaian visi dan misi institusi. Namun demikian, masih diperlukan pembaruan dan pelengkapan data terkait nomor, tanggal, serta substansi kebijakan dimaksud agar sesuai dengan kondisi aktual dan kebutuhan asesmen lapangan.</t>
  </si>
  <si>
    <t>Data sudah dikonfirmasi: IAI GIBTHA memiliki konsep rencana induk pengembangan sarana pembelajaran yang didasarkan pada Surat Keputusan (SK) institusi. Di dalamnya memuat ketentuan mengenai sistem informasi, sarana dan prasarana, aspek pengelolaan sarana dan prasarana, kebutuhan hardware, kebutuhan software, e-procurement, serta Sistem Informasi Manajemen (SIM) sarana dan prasarana. Kebijakan tersebut disusun sebagai upaya mendukung tercapainya visi dan misi lembaga. Namun demikian, masih diperlukan pembaruan dan pelengkapan data terkait nomor dan detail kebijakan yang berlaku sesuai kondisi terbaru di lapangan.</t>
  </si>
  <si>
    <t>Data Terkonfirmasi: Yayasan Ibnu Atha’illah merupakan organisasi yang mendukung santri Ibnu Atha’illah, yang terbagi dalam lima departemen, yaitu 1) Departemen Humas, yang fokus pada interaksi masyarakat baik secara daring maupun luring, serta kerjasama dengan pihak- pihak di luar Pondok Pesantren Ibnu Atha’illah. 2) Departemen Dakwah, yang berhubungan dengan pengajaran kitab kuning di daerah atau kabupaten, serta para da’i yang siap untuk menyebarluaskan dakwah Islam ke berbagai penjuru. 3) Departemen Pendidikan dan Pelatihan, yang berhubungan dengan pendampingan organisasi dan pengembangan pendidikan di Pondok Pesantren Ibnu Atha’illah di berbagai lokasi, termasuk juga pendirian perguruan tinggi Institut Agama Islam (IAI) Guru Kapuh Ibnu Atha’illah (GIBTHA). 4) Departemen Ekonomi dan Bisnis, yang terlibat dalam kemandirian dan usaha lembaga. 5) Departemen Sekretariat, yang bertanggung jawab untuk mendata alumni santri dari Pondok Pesantren Ibnu Atha’illah. Jumlah Aset lembaga yg dimilki saat ini Rp. 4.706.457.247</t>
  </si>
  <si>
    <t>Data Terkonfirmasi: Laporan keuangan Yayasan DILWA untuk tahun yang berakhir per 31 Desember 2025 sebagaimana terlampir yang terdiri dari
a) Laporan posisi keuangan
b) Laporan aktivitas
c) Laporan arus kas
d) Catatan atas laporan keuangan</t>
  </si>
  <si>
    <t>Data Terkonfirmasi: IAI GIBTHA memiliki kebijakan pengelolaan dana yang mencakup aspek: (1) Rencana penerimaan dan pengalokasian, (2) Penyerapan dan penggunaan, (3) Monitoring &amp; evaluasi, (4) Pelaporan, (5) Audit, dan (6) Pertanggungjawaban kepada pemangku kepentingan, serta mekanisme yang mengatur keterlibatan seluruh unit kerja dalam pengelolaan dana institusi.</t>
  </si>
  <si>
    <t>Data Terkonfirmasi: Proyeksi Arus Kas: IAI GIBTHA sudah menunjukkan sirkulasi keuangan secara:  (1) rinci, (2) lengkap, (3) realistik, (4) logis, dan (5) konsisten dengan analisis pada studi kelayakan, serta tidak ada saldo negatif, dan dilengkapi dengan dokumen pendukung, terutama untuk pengeluaran investasi pembangunan gedung dan peralatan pendidikan. Jumlah Pendapatan tahun 2025 Rp. 29.900.095.122, Posisi keuangan, kegiatan finansial dan laporan aliran kas finansial Yayasan Ibnu Atha’illah dalam mendukung operasi perguruan tinggi yang aman dan sehat</t>
  </si>
  <si>
    <t>Data Terkonfirmasi: Ada informasi tentang rencana penerimaan dari sumber mahasiswa Rp. 8.190.000.000, dari total  keseluruhan dana mmasuk yakni: Rp. 45,634,357,188</t>
  </si>
  <si>
    <t>Data Terkonfirmasi: IAI GIBTHA memiliki rencana penggunaan dana yang realistik untuk penyelenggaraan proses pembelajaran, penelitian dan PkM seluruh program studi dan rencana investasi yang memadai selama minimal 3 tahun ke depan</t>
  </si>
  <si>
    <t xml:space="preserve">Demikian juga IAI GHIBTA  belum menjelaskan secara konkrit menyangkut peta jalan kegiatan PkM, sehingga penting dirancang kegiatan Pengabdian kepada Masyarakat (PkM) yang sesuai dengan peta jalan yang telah dirancang lebih awal, hingga PkM memiliki desain yang baik, tidak hanya bersifat insidental, namun juga dapat dijalankan dalam jangka panjang. Dalam kegiatan PkM ini, juga penting adanya kolaborasi antar dosen dan mahasiswa. Walaupun demikian, Direkomendasikan untuk dibuka menjadi IAI GHIBTA </t>
  </si>
  <si>
    <t>IAI GHIBTA  saat ini masih dalam tahap usulan, sehingga sarana dan prasarana ke depan hendaknya terus dilakukan pengembangan seiring dengan saat menunggu IAI GHIBTA dapat disetujui menjadi PT yang berdiri secara mandiri. Beberapa sarana dan prasarana kiranya masih tampak minimalis: Ruang dosen, admin, perpustakaan, dll, sehingga perlu dikembangkan untuk masa-masa mendatang. Walaupun demikian, Direkomendasikan untuk dibuka menjadi IAI GHIBTA .</t>
  </si>
  <si>
    <t xml:space="preserve">IAI GHIBTA memiliki anggaran yang cukup, dan sudah sesuai dengan syarat minimal yang dimiliki oleh badan penyelenggra. Namun perlu dikembangkan untuk masa-masa mendatang, dengan banyak kreasi seperti menjalin kerjasama dengan berbagai pihak baik pemkot, pemda, pemprof, dikti, Kemenag, dalam negeri maupun luar negeri, dan juga membuka badan usaha. Walaupun demikian, Direkomendasikan untuk dibuka menjadi IAI GHIBTA. </t>
  </si>
  <si>
    <t>Telah terjelaskan cukup baik adanya tata kelola organisasi, namun masih diperlukan perwujudan tata kelola yang lebih baik untuk ke depannya. Sudah tergambar adanya struktur yang telah mempetimbangkan hirarki yang cukup baik, misalnya: Ada yayasan, ketua, senat, wakil ketua, ketua jurusan/PS, sekretaris jurusan/PS, UPM, LP2M, kabag, kasubag, staffing, dll.  Direkomendasikan untuk dibuka menjadi IAI GHIBTA</t>
  </si>
  <si>
    <t>Terdapat penjelasan yang cukup tentang perumusan visi, misi, tujuan, dan sasaran (VMTS), sudah realistik karena telah mempertimbangkan aspek-aspek makro dan mikro menyangkut posisi IAI GHIBTA dalam dinamika global, nasional, regional, dan juga lokal. Direkomendasikan untuk dibuka menjadi IAI GHIBTA</t>
  </si>
  <si>
    <t>IAI GHIBTA : Mahasiswa memang belum dapat dibaca karena memang belum ada rekruetmen mahasiswa. Oleh karena itu, perlu dirancang/ disusun buku pedoman perekrutan mahasiswa secara baik dengan ketentuan dan syarat-syarat yang ditentukan secara rigid, kredibel dan akuntabel. Pada konteks saat ini, agar dirancang pedoman/SOP perekrutan dilakukan secara terbuka dengan memanfaatkan media tidak hanya offline namun juga online, sehingga dapat diakses secara terbuka karena IAI GHIBTA ke depannya akan menjadi milik publik. Perlu dirumuskan juga tentang tidak hanya kuantitas namun juga kualitas input mahasiswanya. Walaupun demikian, Direkomendasikan untuk dibuka menjadi IAI GHIBTA</t>
  </si>
  <si>
    <t>Dalam konteks dinamika yang terus berubah, sangat penting dibuat/dirancang pedoman akademik yang memayungi suasana akademik yang kondusif, tidak hanya mengatur tentang suasana akademik di dalam kelas dalam bentuk perkuliahan, namun juga di luar kelas. Agar dirancang bentuk-bentuk dan program akademik yang dapat inspiring seluruh mahasiswa dan civitas akademika lainnya.  Walaupun demikian, Direkomendasikan untuk dibuka menjadi IAI GHIBTA</t>
  </si>
  <si>
    <t>Berdasarkan pada penelusuran data saat AL, IAI GHIBTA  belum merancang peta jalan penelitian secara lebih jelas dan realistik, sehingga untuk kepentingan pengembangan penelitian ke depan, perlu dirancang peta jalan penelitian, yang tidak hanya berbasis pada dosen, namun juga kepada mahasiswa. Juga penting untuk diintegrasikan beberapa mata kuliah dengan kegiatan penelitian yang melibatkan dosen dan mahasiswa. Walaupun demikian, Direkomendasikan untuk dibuka menjadi IAI GHIBTA</t>
  </si>
  <si>
    <t xml:space="preserve">Dengan melihat data calon dosen (SDM) IAI GHIBTA yang diusulkan dengan 2 Program Studi dan 11 calon SDM (dosen) yang sudah mendapat persetujuan oleh LAM, maka untuk kepentingan pengembangan IAI GHIBTA ke depan, hendaknya SDM (Dosen) dirancang pengembangannya pada kualifikasi pendidikan ke jenjang yang lebih tinggi (S3), jabatan akademik (Lektor, lektor kepala), sertifikasi dosen, peningkatan karya ilmiah, dan lain-lain. Walaupun demikian, Direkomendasikan untuk dibuka menjadi IAI GHIBTA </t>
  </si>
  <si>
    <t>Sungai Hulu Selatan, 24 Mei 2026</t>
  </si>
  <si>
    <t>2. Prof. Dr. Fauzan, MA</t>
  </si>
  <si>
    <t>Data sudah dikonfirmasi: Penyusunan Visi, Misi, Tujuan, dan Sasaran Pendirian Institut Ag+A7:E60ama Islam (IAI) Guru Kapuh Ibnu Atha’illah (GHIBTA) dilakukan berdasarkan kajian terhadap tantangan serta kebutuhan yang muncul baik dari lingkungan eksternal maupun internal lembaga. Visi IAI: Menjadi Institut Agama Islam Guru Kapuh Ibnu Atha’illah Yang Unggul dalam memadukan keimanan, nilai Qur’an, adab dan keilmuan serta melahirkan generasi yang berdaya guna bagi umat dan berjiwa entrepreneur. Dalam penyusunan sudah melibatkan pihak internal dan eksternal, spt: Pondok Pesantren (Induk/Afiliasi), Pengguna Lulusan (Alumni &amp; Dunia Kerja), Pemerintah (Kemenag, LLDIKTI, Pemda), Masyarakat/Komunitas Lokal, dan Mitra Kerja Sama (Perguruan Tinggi, NGO &amp; Bank Syariah). Secara konseptual sudah ada kelajalasan arah visi yg diharapkan. Visi cukup realitisk karena adanya dukungan SDM dosen tendik yg memadai, ketersedian sarpras pendukung, serta tata kelola kelembagaan yg disiapkan, Konsep Visi memiliki keterkaitan arah dg mimpi atau keinginan Yayasan, yakni melahirkan generasi unggul yg berilmu pengetahuan, berakhlak al-karimah, dan mampu mengadaptasi perkembangan zaman</t>
  </si>
  <si>
    <r>
      <t xml:space="preserve">Sesuai Fakta di lapangan: IAI GHIBTA sudah memiliki rancangan Sistem Monitoring dan Evaluasi (Monev) Berbasis unggul dalam menyatukan serta memadukan keimanan, Qur’an dan adab serta keilmuan. Sistem Monev ini dirancang dalam kerangka Sistem Penjaminan Mutu Internal (SPMI) Institut Agama Islam Guru Kapuh Ibnu Atha’illah (IAI GIBTHA) dengan siklus Penetapan, Pelaksanaan, Evaluasi (Monev), Pengendalian, dan Peningkatan (PPEPP) yang dilaksanakan secara konsisten oleh PPM.  Dokumen pendukung SPI tersedia lengkap sbb: </t>
    </r>
    <r>
      <rPr>
        <sz val="12"/>
        <color theme="1"/>
        <rFont val="Calibri (Body)"/>
      </rPr>
      <t xml:space="preserve">1. Kebijakan Mutu:
https://drive.google.com/file/d/1GMNpdupgJ2fk3QZe
ZKol7akQR9nzU8IF/view?usp=drive_link
2. Manual Mutu
https://drive.google.com/file/d/1GW3pQdJ9WovXBb
Dgcjz1zB9KsmJjViqn/view?usp=drive_link
3. Standar Mutu
https://drive.google.com/file/d/15THgLEJ8uzZ0jIi7lG
pLK6VrzVHITgKl/view?usp=drive_link
4. SOP Formulir Mutu
https://drive.google.com/file/d/10JFa4CaLoZhQoiu- eTwVPSziG4a0Vpr1/view?usp=drive_link
</t>
    </r>
    <r>
      <rPr>
        <sz val="12"/>
        <color rgb="FFFF0000"/>
        <rFont val="Calibri (Body)"/>
      </rPr>
      <t xml:space="preserve">  
5. Implementasi PPEPP:
https://drive.google.com/file/d/1o1P6CPZjjADQAPH
6QexpsuEzAd5s2fDP/view</t>
    </r>
  </si>
  <si>
    <r>
      <rPr>
        <sz val="12"/>
        <color theme="1"/>
        <rFont val="Calibri (Body)"/>
      </rPr>
      <t>Fakta Lapangan, sebagian besar hadir saat visitasi dilakukan: Terdapat NDTPS_ijinbaru = Jumlah dosen tetap pada program studi baru yang terakreditasi minimum: ada 25 orang yg disiapkan untuk 5 prodi yg diusulkan, yakni: (1) PS Pendidikan Bahasa Arab (PBA)  an. 1. Nurul Amini, M.Pd (S2 Pendidikan Bahasa Arab UII DALWA), 2. Nafisah, M.Pd (S2 Pendidikan Bahasa Arab UII DALWA), 3. Fathia Qonita, M.Pd (S2 Pendidikan Bahasa Arab UII DALWA), 4. Fahrunnisa, M.Pd  (S2 Pendidikan Bahasa Arab UII DALWA), 5. Nurul Jannah (S2 PBA UII Dalwa). (2) PS Manajemen Pendidikan Islam an. 1. Dr. Afifah (S2 MPI UI Dalwa, S3 Manajemen Pendidikan Islam UI Dalwa), 2. Nurwahda Maghfiroh (S2 Manajemen Pendidikan STIE Panca Setia Banjarmasin), 3. Sufi Hadi (S2 Manajemen Pendidikan Islam UI Dalwa), 5. Tasiah (S2 Manajemen Pendidikan Islam UII Dalwa); Zainati Khoiriyah, M.Pd (S2 MPI UII Dalwa), 5. Halidah. S. E, M. Pd (S2 Manajemen Pendidikan UII Dalwa),  3) PS Ekonomi Syariah (ES), an. 1. Dr. Ir. Syahrial Shaddiq, S.T., M.Eng., M.M., M.Si (S3 Ilmu Ekonomi UII Yogya), 2. Dr. Fathurrahman, S. Ag, M. H (S3 Doktoral Ilmu Syariah UIN Antasari), 3. Fachri Zulmi, S. E. I, M. H (S2 Ekonomi Sriah UIN Antasari), 4. Sri Rozana Widya Astuty, S. E, M. E (S2 lmu Ekonomi UNLAM), 5. Fachri Zulmi (S2 Hukum Ekonomi Syariah UIN Antasari)</t>
    </r>
    <r>
      <rPr>
        <sz val="12"/>
        <color rgb="FFFF0000"/>
        <rFont val="Calibri"/>
        <family val="2"/>
        <scheme val="minor"/>
      </rPr>
      <t xml:space="preserve">, </t>
    </r>
    <r>
      <rPr>
        <sz val="12"/>
        <color theme="1"/>
        <rFont val="Calibri (Body)"/>
      </rPr>
      <t xml:space="preserve">4) PS Pendidikan Agama Islam (PAI), an. 1. DR. Ahmad Suryadi, M. Pd. (S3 Dirasah Islamiyah Konsentrasi Pendidikan dan Keguruan UIN Alauddin Makassar), 2. Miftahul Ihsan, M. Pd. (S2 PAI UIN Sunan Kalijaga Yogyakarta), 3. Raudatul Jannah, M. Pd (S2 PAI UIN Antasari), 4. Muhammad Hamdani, M. Pd (S2 PAI UIN Malang), 5. Muhammad Ikhsan, S.Pd, M. Pd (S2 PAI UIN Antasari Banjarmasin).  Semua dosen yg diusulkan berstatus sebagai Dosen Tetap dan memiliki linearitas keilmuan dg program studi yg diusulkan.  </t>
    </r>
  </si>
  <si>
    <t xml:space="preserve">Pada hari Ahad tanggal 24 Mei  2026 telah dilaksanakan asesmen lapangan untuk pendirian Institusi Perguruan Tinggi atas usulan Badan Penyelenggara Yayasan Ibnu Atta'illah Hulu Sungai Selatan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</si>
</sst>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indexed="8"/>
      <name val="Calibri"/>
      <family val="2"/>
    </font>
    <font>
      <sz val="8"/>
      <name val="Calibri"/>
      <family val="2"/>
    </font>
    <font>
      <b/>
      <sz val="14"/>
      <color indexed="9"/>
      <name val="Calibri"/>
      <family val="2"/>
    </font>
    <font>
      <b/>
      <sz val="26"/>
      <color indexed="9"/>
      <name val="Calibri"/>
      <family val="2"/>
    </font>
    <font>
      <sz val="11"/>
      <color indexed="8"/>
      <name val="Calibri"/>
      <family val="2"/>
      <scheme val="minor"/>
    </font>
    <font>
      <b/>
      <sz val="14"/>
      <color theme="0"/>
      <name val="Calibri"/>
      <family val="2"/>
      <scheme val="minor"/>
    </font>
    <font>
      <sz val="11"/>
      <color rgb="FF000000"/>
      <name val="Calibri"/>
      <family val="2"/>
      <scheme val="minor"/>
    </font>
    <font>
      <b/>
      <sz val="16"/>
      <color theme="0"/>
      <name val="Calibri"/>
      <family val="2"/>
      <scheme val="minor"/>
    </font>
    <font>
      <sz val="11"/>
      <color theme="0"/>
      <name val="Calibri"/>
      <family val="2"/>
      <scheme val="minor"/>
    </font>
    <font>
      <sz val="11"/>
      <name val="Calibri"/>
      <family val="2"/>
      <scheme val="minor"/>
    </font>
    <font>
      <sz val="12"/>
      <color theme="1"/>
      <name val="Calibri"/>
      <family val="2"/>
      <scheme val="minor"/>
    </font>
    <font>
      <u/>
      <sz val="11"/>
      <color indexed="8"/>
      <name val="Calibri"/>
      <family val="2"/>
      <scheme val="minor"/>
    </font>
    <font>
      <b/>
      <sz val="12"/>
      <color indexed="8"/>
      <name val="Calibri"/>
      <family val="2"/>
      <scheme val="minor"/>
    </font>
    <font>
      <sz val="12"/>
      <color indexed="8"/>
      <name val="Calibri"/>
      <family val="2"/>
      <scheme val="minor"/>
    </font>
    <font>
      <sz val="10"/>
      <color indexed="8"/>
      <name val="Calibri"/>
      <family val="2"/>
      <scheme val="minor"/>
    </font>
    <font>
      <b/>
      <sz val="18"/>
      <color theme="1"/>
      <name val="Calibri"/>
      <family val="2"/>
      <scheme val="minor"/>
    </font>
    <font>
      <b/>
      <sz val="14"/>
      <color theme="1"/>
      <name val="Calibri"/>
      <family val="2"/>
      <scheme val="minor"/>
    </font>
    <font>
      <sz val="11"/>
      <color indexed="10"/>
      <name val="Calibri"/>
      <family val="2"/>
      <scheme val="minor"/>
    </font>
    <font>
      <vertAlign val="subscript"/>
      <sz val="11"/>
      <color theme="1"/>
      <name val="Calibri"/>
      <family val="2"/>
      <scheme val="minor"/>
    </font>
    <font>
      <b/>
      <u/>
      <sz val="12"/>
      <color indexed="8"/>
      <name val="Calibri"/>
      <family val="2"/>
      <scheme val="minor"/>
    </font>
    <font>
      <sz val="12"/>
      <name val="Calibri"/>
      <family val="2"/>
      <scheme val="minor"/>
    </font>
    <font>
      <b/>
      <sz val="10"/>
      <color indexed="8"/>
      <name val="Calibri"/>
      <family val="2"/>
      <scheme val="minor"/>
    </font>
    <font>
      <sz val="18"/>
      <color theme="1"/>
      <name val="Calibri"/>
      <family val="2"/>
      <scheme val="minor"/>
    </font>
    <font>
      <b/>
      <sz val="18"/>
      <color indexed="9"/>
      <name val="Calibri"/>
      <family val="2"/>
    </font>
    <font>
      <b/>
      <sz val="22"/>
      <color theme="1"/>
      <name val="Calibri"/>
      <family val="2"/>
      <scheme val="minor"/>
    </font>
    <font>
      <b/>
      <sz val="18"/>
      <color rgb="FFFFFF00"/>
      <name val="Calibri"/>
      <family val="2"/>
      <scheme val="minor"/>
    </font>
    <font>
      <vertAlign val="superscript"/>
      <sz val="11"/>
      <color theme="1"/>
      <name val="Calibri"/>
      <family val="2"/>
      <scheme val="minor"/>
    </font>
    <font>
      <sz val="11"/>
      <color rgb="FFFFFF00"/>
      <name val="Calibri"/>
      <family val="2"/>
      <scheme val="minor"/>
    </font>
    <font>
      <sz val="11"/>
      <color theme="1"/>
      <name val="Calibri"/>
      <family val="2"/>
      <scheme val="minor"/>
    </font>
    <font>
      <b/>
      <sz val="12"/>
      <color rgb="FF000000"/>
      <name val="Calibri"/>
      <family val="2"/>
      <scheme val="minor"/>
    </font>
    <font>
      <b/>
      <sz val="12"/>
      <color theme="1"/>
      <name val="Calibri"/>
      <family val="2"/>
      <scheme val="minor"/>
    </font>
    <font>
      <sz val="11"/>
      <color theme="1"/>
      <name val="Calibri"/>
      <family val="2"/>
    </font>
    <font>
      <vertAlign val="subscript"/>
      <sz val="11"/>
      <color indexed="8"/>
      <name val="Calibri"/>
      <family val="2"/>
      <scheme val="minor"/>
    </font>
    <font>
      <vertAlign val="subscript"/>
      <sz val="11"/>
      <color rgb="FF000000"/>
      <name val="Calibri"/>
      <family val="2"/>
      <scheme val="minor"/>
    </font>
    <font>
      <sz val="12"/>
      <color theme="1"/>
      <name val="Arial"/>
      <family val="2"/>
    </font>
    <font>
      <b/>
      <sz val="12"/>
      <color theme="0"/>
      <name val="Calibri"/>
      <family val="2"/>
      <scheme val="minor"/>
    </font>
    <font>
      <sz val="12"/>
      <color theme="0"/>
      <name val="Calibri"/>
      <family val="2"/>
      <scheme val="minor"/>
    </font>
    <font>
      <sz val="12"/>
      <color rgb="FF000000"/>
      <name val="Calibri"/>
      <family val="2"/>
      <scheme val="minor"/>
    </font>
    <font>
      <sz val="11"/>
      <color indexed="8"/>
      <name val="Symbol"/>
      <family val="1"/>
      <charset val="2"/>
    </font>
    <font>
      <sz val="14"/>
      <color theme="1"/>
      <name val="Calibri"/>
      <family val="2"/>
      <scheme val="minor"/>
    </font>
    <font>
      <b/>
      <sz val="11"/>
      <color rgb="FFFF0000"/>
      <name val="Calibri"/>
      <family val="2"/>
      <scheme val="minor"/>
    </font>
    <font>
      <b/>
      <vertAlign val="subscript"/>
      <sz val="11"/>
      <color rgb="FFFF0000"/>
      <name val="Calibri"/>
      <family val="2"/>
      <scheme val="minor"/>
    </font>
    <font>
      <sz val="12"/>
      <color theme="0" tint="-0.249977111117893"/>
      <name val="Calibri"/>
      <family val="2"/>
      <scheme val="minor"/>
    </font>
    <font>
      <b/>
      <sz val="11"/>
      <name val="Calibri"/>
      <family val="2"/>
      <scheme val="minor"/>
    </font>
    <font>
      <sz val="11"/>
      <color rgb="FFFF0000"/>
      <name val="Calibri"/>
      <family val="2"/>
      <scheme val="minor"/>
    </font>
    <font>
      <sz val="12"/>
      <color rgb="FFFF0000"/>
      <name val="Calibri"/>
      <family val="2"/>
      <scheme val="minor"/>
    </font>
    <font>
      <sz val="10"/>
      <color rgb="FFFF0000"/>
      <name val="Calibri"/>
      <family val="2"/>
      <scheme val="minor"/>
    </font>
    <font>
      <sz val="10"/>
      <name val="Calibri"/>
      <family val="2"/>
      <scheme val="minor"/>
    </font>
    <font>
      <sz val="11"/>
      <color rgb="FFFF0000"/>
      <name val="Calibri (Body)"/>
    </font>
    <font>
      <sz val="11"/>
      <name val="Calibri (Body)"/>
    </font>
    <font>
      <sz val="11"/>
      <color theme="1"/>
      <name val="Calibri (Body)"/>
    </font>
    <font>
      <sz val="7"/>
      <color indexed="8"/>
      <name val="Calibri"/>
      <family val="2"/>
      <scheme val="minor"/>
    </font>
    <font>
      <sz val="12"/>
      <color theme="1"/>
      <name val="Calibri (Body)"/>
    </font>
    <font>
      <sz val="12"/>
      <color rgb="FFFF0000"/>
      <name val="Calibri (Body)"/>
    </font>
  </fonts>
  <fills count="18">
    <fill>
      <patternFill patternType="none"/>
    </fill>
    <fill>
      <patternFill patternType="gray125"/>
    </fill>
    <fill>
      <patternFill patternType="solid">
        <fgColor indexed="13"/>
        <bgColor indexed="64"/>
      </patternFill>
    </fill>
    <fill>
      <patternFill patternType="solid">
        <fgColor indexed="21"/>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00FF00"/>
        <bgColor indexed="64"/>
      </patternFill>
    </fill>
    <fill>
      <patternFill patternType="solid">
        <fgColor rgb="FF00B050"/>
        <bgColor indexed="64"/>
      </patternFill>
    </fill>
    <fill>
      <patternFill patternType="solid">
        <fgColor theme="9"/>
        <bgColor indexed="64"/>
      </patternFill>
    </fill>
    <fill>
      <patternFill patternType="solid">
        <fgColor theme="9" tint="0.59999389629810485"/>
        <bgColor indexed="64"/>
      </patternFill>
    </fill>
    <fill>
      <patternFill patternType="solid">
        <fgColor rgb="FF0070C0"/>
        <bgColor indexed="64"/>
      </patternFill>
    </fill>
    <fill>
      <patternFill patternType="solid">
        <fgColor theme="1"/>
        <bgColor indexed="64"/>
      </patternFill>
    </fill>
    <fill>
      <patternFill patternType="solid">
        <fgColor rgb="FF66FF3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00B0F0"/>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thin">
        <color auto="1"/>
      </top>
      <bottom/>
      <diagonal/>
    </border>
    <border>
      <left style="thin">
        <color auto="1"/>
      </left>
      <right style="medium">
        <color auto="1"/>
      </right>
      <top style="medium">
        <color auto="1"/>
      </top>
      <bottom/>
      <diagonal/>
    </border>
    <border>
      <left/>
      <right style="thin">
        <color auto="1"/>
      </right>
      <top style="thin">
        <color auto="1"/>
      </top>
      <bottom style="thin">
        <color auto="1"/>
      </bottom>
      <diagonal/>
    </border>
    <border>
      <left style="thin">
        <color auto="1"/>
      </left>
      <right style="medium">
        <color auto="1"/>
      </right>
      <top/>
      <bottom style="medium">
        <color auto="1"/>
      </bottom>
      <diagonal/>
    </border>
    <border>
      <left/>
      <right/>
      <top style="thin">
        <color auto="1"/>
      </top>
      <bottom style="thin">
        <color auto="1"/>
      </bottom>
      <diagonal/>
    </border>
    <border>
      <left/>
      <right style="thin">
        <color auto="1"/>
      </right>
      <top/>
      <bottom/>
      <diagonal/>
    </border>
    <border>
      <left style="thin">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style="medium">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style="thin">
        <color auto="1"/>
      </bottom>
      <diagonal/>
    </border>
    <border>
      <left style="thin">
        <color auto="1"/>
      </left>
      <right/>
      <top/>
      <bottom style="thin">
        <color auto="1"/>
      </bottom>
      <diagonal/>
    </border>
    <border>
      <left/>
      <right style="thin">
        <color auto="1"/>
      </right>
      <top style="medium">
        <color auto="1"/>
      </top>
      <bottom style="medium">
        <color auto="1"/>
      </bottom>
      <diagonal/>
    </border>
    <border>
      <left style="thin">
        <color auto="1"/>
      </left>
      <right/>
      <top style="medium">
        <color auto="1"/>
      </top>
      <bottom style="thin">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style="thin">
        <color auto="1"/>
      </left>
      <right style="thin">
        <color auto="1"/>
      </right>
      <top/>
      <bottom style="medium">
        <color auto="1"/>
      </bottom>
      <diagonal/>
    </border>
    <border>
      <left/>
      <right style="double">
        <color rgb="FFFFFF00"/>
      </right>
      <top/>
      <bottom/>
      <diagonal/>
    </border>
    <border>
      <left style="medium">
        <color auto="1"/>
      </left>
      <right style="thin">
        <color auto="1"/>
      </right>
      <top style="thin">
        <color auto="1"/>
      </top>
      <bottom style="medium">
        <color auto="1"/>
      </bottom>
      <diagonal/>
    </border>
    <border>
      <left/>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medium">
        <color auto="1"/>
      </bottom>
      <diagonal/>
    </border>
    <border>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9" fontId="32" fillId="0" borderId="0" applyFont="0" applyFill="0" applyBorder="0" applyAlignment="0" applyProtection="0"/>
  </cellStyleXfs>
  <cellXfs count="453">
    <xf numFmtId="0" fontId="0" fillId="0" borderId="0" xfId="0"/>
    <xf numFmtId="0" fontId="8" fillId="0" borderId="0" xfId="0" applyFont="1" applyAlignment="1" applyProtection="1">
      <alignment vertical="top"/>
      <protection locked="0"/>
    </xf>
    <xf numFmtId="0" fontId="0" fillId="0" borderId="0" xfId="0" applyAlignment="1">
      <alignment vertical="center"/>
    </xf>
    <xf numFmtId="0" fontId="0" fillId="0" borderId="0" xfId="0" applyAlignment="1">
      <alignment horizontal="center" vertical="center"/>
    </xf>
    <xf numFmtId="0" fontId="0" fillId="0" borderId="45" xfId="0" applyBorder="1" applyAlignment="1">
      <alignment horizontal="center" vertical="center"/>
    </xf>
    <xf numFmtId="0" fontId="0" fillId="0" borderId="32" xfId="0" applyBorder="1" applyAlignment="1">
      <alignment horizontal="center" vertical="center"/>
    </xf>
    <xf numFmtId="0" fontId="0" fillId="0" borderId="46" xfId="0" applyBorder="1" applyAlignment="1">
      <alignment horizontal="center" vertical="center"/>
    </xf>
    <xf numFmtId="0" fontId="0" fillId="0" borderId="2" xfId="0" applyBorder="1" applyAlignment="1">
      <alignment horizontal="center" vertical="center"/>
    </xf>
    <xf numFmtId="0" fontId="0" fillId="0" borderId="46" xfId="0" applyBorder="1" applyAlignment="1">
      <alignment horizontal="left" vertical="center"/>
    </xf>
    <xf numFmtId="0" fontId="0" fillId="0" borderId="49" xfId="0" applyBorder="1" applyAlignment="1">
      <alignment horizontal="center" vertical="center"/>
    </xf>
    <xf numFmtId="0" fontId="9" fillId="9" borderId="11"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13" fillId="0" borderId="0" xfId="0" applyFont="1" applyAlignment="1">
      <alignment vertical="center"/>
    </xf>
    <xf numFmtId="0" fontId="12" fillId="0" borderId="0" xfId="0" applyFont="1" applyAlignment="1">
      <alignment vertical="center"/>
    </xf>
    <xf numFmtId="2" fontId="12" fillId="0" borderId="0" xfId="0" applyNumberFormat="1" applyFont="1" applyAlignment="1">
      <alignment vertical="center"/>
    </xf>
    <xf numFmtId="0" fontId="14" fillId="0" borderId="0" xfId="0" applyFont="1" applyProtection="1">
      <protection locked="0"/>
    </xf>
    <xf numFmtId="0" fontId="14" fillId="0" borderId="0" xfId="0" applyFont="1"/>
    <xf numFmtId="0" fontId="14" fillId="0" borderId="0" xfId="0" applyFont="1" applyAlignment="1">
      <alignment horizontal="center"/>
    </xf>
    <xf numFmtId="0" fontId="14" fillId="0" borderId="0" xfId="0" applyFont="1" applyAlignment="1">
      <alignment wrapText="1"/>
    </xf>
    <xf numFmtId="0" fontId="14" fillId="0" borderId="0" xfId="0" applyFont="1" applyAlignment="1" applyProtection="1">
      <alignment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protection locked="0"/>
    </xf>
    <xf numFmtId="0" fontId="14" fillId="0" borderId="1" xfId="0" applyFont="1" applyBorder="1" applyAlignment="1">
      <alignment horizontal="center" vertical="top" wrapText="1"/>
    </xf>
    <xf numFmtId="0" fontId="14" fillId="0" borderId="0" xfId="0" applyFont="1" applyAlignment="1" applyProtection="1">
      <alignment horizontal="center" vertical="center" wrapText="1"/>
      <protection locked="0"/>
    </xf>
    <xf numFmtId="0" fontId="14" fillId="0" borderId="0" xfId="0" applyFont="1" applyAlignment="1">
      <alignment horizontal="center" vertical="center"/>
    </xf>
    <xf numFmtId="0" fontId="0" fillId="0" borderId="0" xfId="0" applyAlignment="1" applyProtection="1">
      <alignment horizontal="center" vertical="center"/>
      <protection locked="0"/>
    </xf>
    <xf numFmtId="0" fontId="0" fillId="0" borderId="0" xfId="0" applyAlignment="1">
      <alignment horizontal="center"/>
    </xf>
    <xf numFmtId="0" fontId="17" fillId="0" borderId="0" xfId="0" applyFont="1"/>
    <xf numFmtId="0" fontId="0" fillId="0" borderId="0" xfId="0" applyAlignment="1" applyProtection="1">
      <alignment horizontal="center"/>
      <protection locked="0"/>
    </xf>
    <xf numFmtId="0" fontId="17" fillId="0" borderId="0" xfId="0" applyFont="1" applyAlignment="1" applyProtection="1">
      <alignment horizontal="left" vertical="top"/>
      <protection locked="0"/>
    </xf>
    <xf numFmtId="0" fontId="17" fillId="0" borderId="0" xfId="0" applyFont="1" applyAlignment="1" applyProtection="1">
      <alignment horizontal="center" vertical="top" wrapText="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top"/>
      <protection locked="0"/>
    </xf>
    <xf numFmtId="0" fontId="0" fillId="0" borderId="0" xfId="0" applyProtection="1">
      <protection locked="0"/>
    </xf>
    <xf numFmtId="0" fontId="17" fillId="0" borderId="0" xfId="0" applyFont="1" applyAlignment="1">
      <alignment vertical="top" wrapText="1"/>
    </xf>
    <xf numFmtId="49" fontId="17"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49" fontId="8" fillId="0" borderId="0" xfId="0" applyNumberFormat="1" applyFont="1" applyAlignment="1" applyProtection="1">
      <alignment horizontal="center"/>
      <protection locked="0"/>
    </xf>
    <xf numFmtId="0" fontId="8" fillId="0" borderId="0" xfId="0" applyFont="1" applyAlignment="1">
      <alignment horizontal="left" vertical="center"/>
    </xf>
    <xf numFmtId="0" fontId="0" fillId="0" borderId="5" xfId="0" applyBorder="1" applyAlignment="1">
      <alignment horizontal="center" vertical="center"/>
    </xf>
    <xf numFmtId="2" fontId="0" fillId="2" borderId="7" xfId="0" applyNumberFormat="1" applyFill="1" applyBorder="1" applyAlignment="1" applyProtection="1">
      <alignment horizontal="center" vertical="center"/>
      <protection locked="0"/>
    </xf>
    <xf numFmtId="2" fontId="0" fillId="8" borderId="7" xfId="0" applyNumberFormat="1" applyFill="1" applyBorder="1" applyAlignment="1">
      <alignment horizontal="center" vertical="center"/>
    </xf>
    <xf numFmtId="0" fontId="15" fillId="0" borderId="46" xfId="0" applyFont="1" applyBorder="1" applyAlignment="1">
      <alignment horizontal="center" vertical="center"/>
    </xf>
    <xf numFmtId="2" fontId="0" fillId="5" borderId="17" xfId="0" applyNumberFormat="1" applyFill="1" applyBorder="1" applyAlignment="1">
      <alignment horizontal="center" vertical="center"/>
    </xf>
    <xf numFmtId="0" fontId="15" fillId="0" borderId="0" xfId="0" applyFont="1" applyAlignment="1">
      <alignment horizontal="center" vertical="center"/>
    </xf>
    <xf numFmtId="2" fontId="0" fillId="2" borderId="15" xfId="0" applyNumberFormat="1" applyFill="1" applyBorder="1" applyAlignment="1" applyProtection="1">
      <alignment horizontal="center" vertical="center"/>
      <protection locked="0"/>
    </xf>
    <xf numFmtId="2" fontId="0" fillId="2" borderId="5" xfId="0" applyNumberFormat="1" applyFill="1" applyBorder="1" applyAlignment="1" applyProtection="1">
      <alignment horizontal="center" vertical="center"/>
      <protection locked="0"/>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2" fontId="0" fillId="0" borderId="29" xfId="0" applyNumberFormat="1" applyBorder="1" applyAlignment="1">
      <alignment horizontal="center" vertical="center"/>
    </xf>
    <xf numFmtId="0" fontId="10" fillId="0" borderId="1" xfId="0" applyFont="1" applyBorder="1" applyAlignment="1">
      <alignment vertical="center" wrapText="1"/>
    </xf>
    <xf numFmtId="0" fontId="10" fillId="0" borderId="1" xfId="0" applyFont="1" applyBorder="1" applyAlignment="1">
      <alignment horizontal="left" vertical="center"/>
    </xf>
    <xf numFmtId="0" fontId="13" fillId="0" borderId="45" xfId="0" applyFont="1" applyBorder="1" applyAlignment="1">
      <alignment horizontal="center" vertical="center" wrapText="1"/>
    </xf>
    <xf numFmtId="0" fontId="8" fillId="0" borderId="1" xfId="0" applyFont="1" applyBorder="1" applyAlignment="1">
      <alignment vertical="center" wrapText="1"/>
    </xf>
    <xf numFmtId="2" fontId="0" fillId="0" borderId="30" xfId="0" applyNumberFormat="1" applyBorder="1" applyAlignment="1">
      <alignment horizontal="center" vertical="center"/>
    </xf>
    <xf numFmtId="0" fontId="8" fillId="0" borderId="0" xfId="0" applyFont="1" applyAlignment="1">
      <alignment vertical="center"/>
    </xf>
    <xf numFmtId="0" fontId="8" fillId="0" borderId="1" xfId="0" applyFont="1" applyBorder="1" applyAlignment="1">
      <alignment horizontal="center" vertical="center"/>
    </xf>
    <xf numFmtId="0" fontId="0" fillId="0" borderId="23" xfId="0" applyBorder="1" applyAlignment="1">
      <alignment horizontal="center" vertical="center"/>
    </xf>
    <xf numFmtId="0" fontId="0" fillId="0" borderId="30" xfId="0" applyBorder="1" applyAlignment="1">
      <alignment horizontal="center" vertical="center"/>
    </xf>
    <xf numFmtId="2" fontId="0" fillId="0" borderId="31" xfId="0" applyNumberFormat="1" applyBorder="1" applyAlignment="1">
      <alignment horizontal="center" vertical="center"/>
    </xf>
    <xf numFmtId="2" fontId="0" fillId="5" borderId="26" xfId="0" applyNumberFormat="1" applyFill="1" applyBorder="1" applyAlignment="1">
      <alignment horizontal="center" vertical="center"/>
    </xf>
    <xf numFmtId="0" fontId="21" fillId="0" borderId="0" xfId="0" applyFont="1" applyAlignment="1">
      <alignment vertical="center"/>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0" fillId="0" borderId="1" xfId="0" applyFont="1" applyBorder="1" applyAlignment="1">
      <alignment horizontal="left" vertical="center" wrapText="1"/>
    </xf>
    <xf numFmtId="0" fontId="8" fillId="0" borderId="27" xfId="0" applyFont="1" applyBorder="1" applyAlignment="1">
      <alignment horizontal="center" vertical="center"/>
    </xf>
    <xf numFmtId="2" fontId="0" fillId="0" borderId="23" xfId="0" applyNumberFormat="1" applyBorder="1" applyAlignment="1">
      <alignment horizontal="center" vertical="center"/>
    </xf>
    <xf numFmtId="0" fontId="8" fillId="0" borderId="34" xfId="0" applyFont="1" applyBorder="1" applyAlignment="1">
      <alignment horizontal="center" vertical="center"/>
    </xf>
    <xf numFmtId="0" fontId="8" fillId="0" borderId="19" xfId="0" applyFont="1" applyBorder="1" applyAlignment="1">
      <alignment horizontal="left" vertical="center" wrapText="1"/>
    </xf>
    <xf numFmtId="0" fontId="8" fillId="0" borderId="0" xfId="0" applyFont="1" applyAlignment="1">
      <alignment horizontal="center" vertical="center" wrapText="1"/>
    </xf>
    <xf numFmtId="0" fontId="8" fillId="0" borderId="25" xfId="0" applyFont="1" applyBorder="1" applyAlignment="1">
      <alignment horizontal="center" vertical="center" wrapText="1"/>
    </xf>
    <xf numFmtId="0" fontId="8" fillId="0" borderId="25" xfId="0" applyFont="1" applyBorder="1" applyAlignment="1">
      <alignment horizontal="center" vertical="center"/>
    </xf>
    <xf numFmtId="9" fontId="0" fillId="0" borderId="23" xfId="1" applyFont="1" applyFill="1" applyBorder="1" applyAlignment="1" applyProtection="1">
      <alignment horizontal="center" vertical="center"/>
    </xf>
    <xf numFmtId="9" fontId="0" fillId="0" borderId="30" xfId="1" applyFont="1" applyFill="1" applyBorder="1" applyAlignment="1" applyProtection="1">
      <alignment horizontal="center" vertical="center"/>
    </xf>
    <xf numFmtId="9" fontId="0" fillId="0" borderId="15" xfId="1" applyFont="1" applyFill="1" applyBorder="1" applyAlignment="1" applyProtection="1">
      <alignment horizontal="center" vertical="center"/>
    </xf>
    <xf numFmtId="0" fontId="8" fillId="0" borderId="28" xfId="0" applyFont="1" applyBorder="1" applyAlignment="1">
      <alignment horizontal="left" vertical="center" wrapText="1"/>
    </xf>
    <xf numFmtId="0" fontId="0" fillId="0" borderId="15" xfId="0" applyBorder="1" applyAlignment="1">
      <alignment horizontal="center" vertical="center"/>
    </xf>
    <xf numFmtId="164" fontId="0" fillId="8" borderId="7" xfId="0" applyNumberFormat="1" applyFill="1" applyBorder="1" applyAlignment="1">
      <alignment horizontal="center" vertical="center"/>
    </xf>
    <xf numFmtId="0" fontId="0" fillId="6" borderId="7" xfId="0" applyFill="1" applyBorder="1" applyAlignment="1" applyProtection="1">
      <alignment horizontal="center" vertical="center"/>
      <protection locked="0"/>
    </xf>
    <xf numFmtId="0" fontId="0" fillId="0" borderId="0" xfId="0" applyAlignment="1">
      <alignment horizontal="left" vertical="center"/>
    </xf>
    <xf numFmtId="1" fontId="0" fillId="6" borderId="7" xfId="0" applyNumberFormat="1" applyFill="1" applyBorder="1" applyAlignment="1" applyProtection="1">
      <alignment horizontal="center" vertical="center"/>
      <protection locked="0"/>
    </xf>
    <xf numFmtId="0" fontId="0" fillId="5" borderId="15" xfId="0" applyFill="1" applyBorder="1" applyAlignment="1">
      <alignment horizontal="center" vertical="center"/>
    </xf>
    <xf numFmtId="1" fontId="0" fillId="0" borderId="29" xfId="0" applyNumberFormat="1" applyBorder="1" applyAlignment="1">
      <alignment horizontal="center" vertical="center"/>
    </xf>
    <xf numFmtId="1" fontId="0" fillId="0" borderId="15" xfId="0" applyNumberFormat="1" applyBorder="1" applyAlignment="1">
      <alignment horizontal="center" vertical="center"/>
    </xf>
    <xf numFmtId="0" fontId="10" fillId="0" borderId="0" xfId="0" applyFont="1" applyAlignment="1">
      <alignment vertical="center" wrapText="1"/>
    </xf>
    <xf numFmtId="2" fontId="0" fillId="0" borderId="15" xfId="0" applyNumberFormat="1" applyBorder="1" applyAlignment="1">
      <alignment horizontal="center" vertical="center"/>
    </xf>
    <xf numFmtId="0" fontId="8" fillId="0" borderId="18" xfId="0" applyFont="1" applyBorder="1" applyAlignment="1">
      <alignment horizontal="center" vertical="center" wrapText="1"/>
    </xf>
    <xf numFmtId="0" fontId="10" fillId="0" borderId="0" xfId="0" applyFont="1" applyAlignment="1">
      <alignment wrapText="1"/>
    </xf>
    <xf numFmtId="0" fontId="0" fillId="0" borderId="5" xfId="0" applyBorder="1" applyAlignment="1">
      <alignment vertical="center"/>
    </xf>
    <xf numFmtId="10" fontId="0" fillId="8" borderId="7" xfId="1" applyNumberFormat="1" applyFont="1" applyFill="1" applyBorder="1" applyAlignment="1" applyProtection="1">
      <alignment horizontal="center" vertical="center"/>
    </xf>
    <xf numFmtId="0" fontId="17" fillId="0" borderId="0" xfId="0" applyFont="1" applyAlignment="1" applyProtection="1">
      <alignment horizontal="center"/>
      <protection locked="0"/>
    </xf>
    <xf numFmtId="0" fontId="17" fillId="0" borderId="0" xfId="0" applyFont="1" applyAlignment="1" applyProtection="1">
      <alignment wrapText="1"/>
      <protection locked="0"/>
    </xf>
    <xf numFmtId="0" fontId="17" fillId="0" borderId="0" xfId="0" applyFont="1" applyAlignment="1" applyProtection="1">
      <alignment horizontal="center" vertical="center"/>
      <protection locked="0"/>
    </xf>
    <xf numFmtId="0" fontId="17" fillId="0" borderId="0" xfId="0" applyFont="1" applyAlignment="1">
      <alignment horizontal="center"/>
    </xf>
    <xf numFmtId="0" fontId="17" fillId="0" borderId="0" xfId="0" applyFont="1" applyAlignment="1" applyProtection="1">
      <alignment vertical="top" wrapText="1"/>
      <protection locked="0"/>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7" fillId="0" borderId="14" xfId="0" applyFont="1" applyBorder="1" applyAlignment="1">
      <alignment horizontal="center" vertical="top" wrapText="1"/>
    </xf>
    <xf numFmtId="0" fontId="24" fillId="0" borderId="3" xfId="0" applyFont="1" applyBorder="1" applyAlignment="1">
      <alignment horizontal="center" vertical="top" wrapText="1"/>
    </xf>
    <xf numFmtId="0" fontId="17" fillId="0" borderId="3" xfId="0" applyFont="1" applyBorder="1" applyAlignment="1">
      <alignment horizontal="left" vertical="top" wrapText="1"/>
    </xf>
    <xf numFmtId="0" fontId="24" fillId="0" borderId="4" xfId="0" applyFont="1" applyBorder="1" applyAlignment="1">
      <alignment horizontal="center" vertical="top" wrapText="1"/>
    </xf>
    <xf numFmtId="0" fontId="24" fillId="0" borderId="1" xfId="0" applyFont="1" applyBorder="1" applyAlignment="1">
      <alignment horizontal="center" vertical="top" wrapText="1"/>
    </xf>
    <xf numFmtId="0" fontId="17" fillId="0" borderId="1" xfId="0" applyFont="1" applyBorder="1" applyAlignment="1">
      <alignment horizontal="left" vertical="top" wrapText="1"/>
    </xf>
    <xf numFmtId="2" fontId="17"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17" fillId="0" borderId="0" xfId="0" applyFont="1" applyAlignment="1" applyProtection="1">
      <alignment vertical="center" wrapText="1"/>
      <protection locked="0"/>
    </xf>
    <xf numFmtId="0" fontId="17" fillId="0" borderId="0" xfId="0" applyFont="1" applyAlignment="1">
      <alignment horizontal="justify"/>
    </xf>
    <xf numFmtId="0" fontId="25" fillId="0" borderId="1" xfId="0" applyFont="1" applyBorder="1" applyAlignment="1">
      <alignment horizontal="center" vertical="center" wrapText="1"/>
    </xf>
    <xf numFmtId="0" fontId="18" fillId="0" borderId="4" xfId="0" applyFont="1" applyBorder="1" applyAlignment="1">
      <alignment horizontal="center" vertical="top" wrapText="1"/>
    </xf>
    <xf numFmtId="0" fontId="18" fillId="0" borderId="1" xfId="0" applyFont="1" applyBorder="1" applyAlignment="1">
      <alignment horizontal="center" vertical="top" wrapText="1"/>
    </xf>
    <xf numFmtId="2" fontId="18" fillId="0" borderId="1" xfId="0" applyNumberFormat="1" applyFont="1" applyBorder="1" applyAlignment="1" applyProtection="1">
      <alignment horizontal="center" vertical="center" wrapText="1"/>
      <protection locked="0"/>
    </xf>
    <xf numFmtId="0" fontId="18" fillId="0" borderId="1" xfId="0" applyFont="1" applyBorder="1" applyAlignment="1">
      <alignment horizontal="left" vertical="top" wrapText="1"/>
    </xf>
    <xf numFmtId="0" fontId="17" fillId="0" borderId="0" xfId="0" applyFont="1" applyAlignment="1">
      <alignment horizontal="left"/>
    </xf>
    <xf numFmtId="0" fontId="17" fillId="0" borderId="0" xfId="0" applyFont="1" applyAlignment="1" applyProtection="1">
      <alignment horizontal="justify"/>
      <protection locked="0"/>
    </xf>
    <xf numFmtId="0" fontId="16" fillId="0" borderId="0" xfId="0" applyFont="1"/>
    <xf numFmtId="0" fontId="17" fillId="0" borderId="0" xfId="0" applyFont="1" applyAlignment="1">
      <alignment horizontal="left" vertical="top"/>
    </xf>
    <xf numFmtId="0" fontId="17" fillId="0" borderId="0" xfId="0" applyFont="1" applyAlignment="1">
      <alignment horizontal="left" wrapText="1"/>
    </xf>
    <xf numFmtId="0" fontId="11" fillId="3" borderId="0" xfId="0" applyFont="1" applyFill="1" applyAlignment="1">
      <alignment vertical="center"/>
    </xf>
    <xf numFmtId="0" fontId="0" fillId="3" borderId="0" xfId="0" applyFill="1" applyAlignment="1">
      <alignment vertical="center"/>
    </xf>
    <xf numFmtId="0" fontId="7" fillId="3" borderId="0" xfId="0" applyFont="1" applyFill="1" applyAlignment="1">
      <alignment vertical="center"/>
    </xf>
    <xf numFmtId="0" fontId="6" fillId="3" borderId="0" xfId="0" applyFont="1" applyFill="1" applyAlignment="1">
      <alignment vertical="center" wrapText="1"/>
    </xf>
    <xf numFmtId="0" fontId="0" fillId="3" borderId="0" xfId="0" applyFill="1" applyAlignment="1">
      <alignment horizontal="center" vertical="center"/>
    </xf>
    <xf numFmtId="0" fontId="26" fillId="0" borderId="0" xfId="0" applyFont="1" applyAlignment="1">
      <alignment vertical="center"/>
    </xf>
    <xf numFmtId="0" fontId="0" fillId="3" borderId="0" xfId="0" applyFill="1" applyAlignment="1">
      <alignment horizontal="right" vertical="center"/>
    </xf>
    <xf numFmtId="0" fontId="26" fillId="3" borderId="0" xfId="0" applyFont="1" applyFill="1" applyAlignment="1">
      <alignment vertical="center"/>
    </xf>
    <xf numFmtId="0" fontId="26" fillId="3" borderId="0" xfId="0" applyFont="1" applyFill="1" applyAlignment="1">
      <alignment horizontal="right" vertical="center"/>
    </xf>
    <xf numFmtId="0" fontId="27" fillId="3" borderId="0" xfId="0" applyFont="1" applyFill="1" applyAlignment="1">
      <alignment vertical="center" wrapText="1"/>
    </xf>
    <xf numFmtId="0" fontId="19" fillId="3" borderId="0" xfId="0" applyFont="1" applyFill="1" applyAlignment="1">
      <alignment horizontal="center" vertical="center"/>
    </xf>
    <xf numFmtId="0" fontId="19" fillId="3" borderId="0" xfId="0" applyFont="1" applyFill="1" applyAlignment="1">
      <alignment vertical="center"/>
    </xf>
    <xf numFmtId="0" fontId="29" fillId="3" borderId="50" xfId="0" applyFont="1" applyFill="1" applyBorder="1" applyAlignment="1">
      <alignment horizontal="center" vertical="center"/>
    </xf>
    <xf numFmtId="0" fontId="26" fillId="3" borderId="50" xfId="0" applyFont="1" applyFill="1" applyBorder="1" applyAlignment="1">
      <alignment horizontal="center" vertical="center"/>
    </xf>
    <xf numFmtId="0" fontId="0" fillId="3" borderId="50" xfId="0" applyFill="1" applyBorder="1" applyAlignment="1">
      <alignment vertical="center"/>
    </xf>
    <xf numFmtId="14" fontId="17" fillId="0" borderId="0" xfId="0" applyNumberFormat="1" applyFont="1" applyAlignment="1" applyProtection="1">
      <alignment horizontal="left" vertical="top" wrapText="1"/>
      <protection locked="0"/>
    </xf>
    <xf numFmtId="14" fontId="0" fillId="3" borderId="0" xfId="0" applyNumberFormat="1" applyFill="1" applyAlignment="1">
      <alignment vertical="center"/>
    </xf>
    <xf numFmtId="0" fontId="31" fillId="3" borderId="0" xfId="0" applyFont="1" applyFill="1" applyAlignment="1">
      <alignment vertical="center"/>
    </xf>
    <xf numFmtId="14" fontId="31" fillId="3" borderId="0" xfId="0" applyNumberFormat="1" applyFont="1" applyFill="1" applyAlignment="1">
      <alignment vertical="center"/>
    </xf>
    <xf numFmtId="0" fontId="24" fillId="0" borderId="51" xfId="0" applyFont="1" applyBorder="1" applyAlignment="1">
      <alignment horizontal="center" vertical="top" wrapText="1"/>
    </xf>
    <xf numFmtId="0" fontId="24" fillId="0" borderId="9" xfId="0" applyFont="1" applyBorder="1" applyAlignment="1">
      <alignment horizontal="left" vertical="top" wrapText="1"/>
    </xf>
    <xf numFmtId="0" fontId="17" fillId="0" borderId="9" xfId="0" applyFont="1" applyBorder="1" applyAlignment="1">
      <alignment horizontal="left" vertical="top" wrapText="1"/>
    </xf>
    <xf numFmtId="2" fontId="14" fillId="0" borderId="0" xfId="0" applyNumberFormat="1" applyFont="1"/>
    <xf numFmtId="0" fontId="17" fillId="0" borderId="0" xfId="0" applyFont="1" applyAlignment="1">
      <alignment horizontal="left" indent="11"/>
    </xf>
    <xf numFmtId="0" fontId="17" fillId="0" borderId="0" xfId="0" applyFont="1" applyAlignment="1">
      <alignment wrapText="1"/>
    </xf>
    <xf numFmtId="0" fontId="17" fillId="0" borderId="16" xfId="0" applyFont="1" applyBorder="1" applyAlignment="1">
      <alignment vertical="top" wrapText="1"/>
    </xf>
    <xf numFmtId="49" fontId="14" fillId="0" borderId="0" xfId="0" applyNumberFormat="1" applyFont="1" applyProtection="1">
      <protection locked="0"/>
    </xf>
    <xf numFmtId="49" fontId="14" fillId="0" borderId="0" xfId="0" applyNumberFormat="1" applyFont="1" applyAlignment="1" applyProtection="1">
      <alignment horizontal="center"/>
      <protection locked="0"/>
    </xf>
    <xf numFmtId="2" fontId="0" fillId="4" borderId="16" xfId="0" applyNumberFormat="1" applyFill="1" applyBorder="1" applyAlignment="1">
      <alignment horizontal="left" vertical="center"/>
    </xf>
    <xf numFmtId="2" fontId="25" fillId="0" borderId="1" xfId="0" applyNumberFormat="1" applyFont="1" applyBorder="1" applyAlignment="1">
      <alignment horizontal="center" vertical="top" wrapText="1"/>
    </xf>
    <xf numFmtId="0" fontId="0" fillId="7" borderId="45" xfId="0" applyFill="1" applyBorder="1" applyAlignment="1">
      <alignment horizontal="center" vertical="center"/>
    </xf>
    <xf numFmtId="0" fontId="24" fillId="0" borderId="9" xfId="0" applyFont="1" applyBorder="1" applyAlignment="1">
      <alignment horizontal="center" vertical="top" wrapText="1"/>
    </xf>
    <xf numFmtId="0" fontId="24" fillId="0" borderId="19" xfId="0" applyFont="1" applyBorder="1" applyAlignment="1">
      <alignment horizontal="center" vertical="top" wrapText="1"/>
    </xf>
    <xf numFmtId="0" fontId="24" fillId="0" borderId="19" xfId="0" applyFont="1" applyBorder="1" applyAlignment="1">
      <alignment horizontal="left" vertical="top" wrapText="1"/>
    </xf>
    <xf numFmtId="0" fontId="17" fillId="0" borderId="19" xfId="0" applyFont="1" applyBorder="1" applyAlignment="1">
      <alignment horizontal="left" vertical="top" wrapText="1"/>
    </xf>
    <xf numFmtId="0" fontId="14" fillId="0" borderId="0" xfId="0" applyFont="1" applyAlignment="1">
      <alignment vertical="center"/>
    </xf>
    <xf numFmtId="0" fontId="17" fillId="0" borderId="0" xfId="0" applyFont="1" applyAlignment="1" applyProtection="1">
      <alignment vertical="center"/>
      <protection locked="0"/>
    </xf>
    <xf numFmtId="0" fontId="14" fillId="0" borderId="0" xfId="0" applyFont="1" applyAlignment="1" applyProtection="1">
      <alignment vertical="center"/>
      <protection locked="0"/>
    </xf>
    <xf numFmtId="0" fontId="18" fillId="0" borderId="51" xfId="0" applyFont="1" applyBorder="1" applyAlignment="1">
      <alignment horizontal="center" vertical="top" wrapText="1"/>
    </xf>
    <xf numFmtId="0" fontId="18" fillId="0" borderId="9" xfId="0" applyFont="1" applyBorder="1" applyAlignment="1">
      <alignment horizontal="center" vertical="top" wrapText="1"/>
    </xf>
    <xf numFmtId="2" fontId="18" fillId="0" borderId="9" xfId="0" applyNumberFormat="1" applyFont="1" applyBorder="1" applyAlignment="1" applyProtection="1">
      <alignment horizontal="center" vertical="center" wrapText="1"/>
      <protection locked="0"/>
    </xf>
    <xf numFmtId="2" fontId="25" fillId="0" borderId="9" xfId="0" applyNumberFormat="1" applyFont="1" applyBorder="1" applyAlignment="1">
      <alignment horizontal="center" vertical="top" wrapText="1"/>
    </xf>
    <xf numFmtId="0" fontId="18" fillId="0" borderId="9" xfId="0" applyFont="1" applyBorder="1" applyAlignment="1">
      <alignment horizontal="left" vertical="top" wrapText="1"/>
    </xf>
    <xf numFmtId="2" fontId="12" fillId="0" borderId="7" xfId="0" applyNumberFormat="1" applyFont="1" applyBorder="1" applyAlignment="1">
      <alignment horizontal="center" vertical="center"/>
    </xf>
    <xf numFmtId="0" fontId="8" fillId="0" borderId="20" xfId="0" applyFont="1" applyBorder="1" applyAlignment="1">
      <alignment vertical="center" wrapText="1"/>
    </xf>
    <xf numFmtId="0" fontId="8" fillId="0" borderId="25" xfId="0" applyFont="1" applyBorder="1" applyAlignment="1">
      <alignment vertical="center" wrapText="1"/>
    </xf>
    <xf numFmtId="2" fontId="0" fillId="0" borderId="0" xfId="0" applyNumberFormat="1" applyAlignment="1">
      <alignment horizontal="center" vertical="center"/>
    </xf>
    <xf numFmtId="1" fontId="12" fillId="0" borderId="0" xfId="0" applyNumberFormat="1" applyFont="1" applyAlignment="1">
      <alignment horizontal="center" vertical="center"/>
    </xf>
    <xf numFmtId="0" fontId="8" fillId="0" borderId="20" xfId="0" applyFont="1" applyBorder="1" applyAlignment="1">
      <alignment horizontal="center" vertical="center"/>
    </xf>
    <xf numFmtId="0" fontId="10" fillId="0" borderId="25" xfId="0" applyFont="1" applyBorder="1" applyAlignment="1">
      <alignment vertical="center" wrapText="1"/>
    </xf>
    <xf numFmtId="0" fontId="0" fillId="4" borderId="7" xfId="0" applyFill="1" applyBorder="1" applyAlignment="1">
      <alignment horizontal="center" vertical="center"/>
    </xf>
    <xf numFmtId="0" fontId="12" fillId="0" borderId="23" xfId="0" applyFont="1" applyBorder="1" applyAlignment="1">
      <alignment horizontal="center" vertical="center"/>
    </xf>
    <xf numFmtId="0" fontId="12" fillId="0" borderId="30" xfId="0" applyFont="1" applyBorder="1" applyAlignment="1">
      <alignment horizontal="center" vertical="center"/>
    </xf>
    <xf numFmtId="1" fontId="12" fillId="0" borderId="31" xfId="0" applyNumberFormat="1" applyFont="1" applyBorder="1" applyAlignment="1">
      <alignment horizontal="center" vertical="center"/>
    </xf>
    <xf numFmtId="2" fontId="0" fillId="8" borderId="7" xfId="1" applyNumberFormat="1" applyFont="1" applyFill="1" applyBorder="1" applyAlignment="1" applyProtection="1">
      <alignment horizontal="center" vertical="center"/>
    </xf>
    <xf numFmtId="0" fontId="8" fillId="0" borderId="27" xfId="0" applyFont="1" applyBorder="1" applyAlignment="1">
      <alignment vertical="center" wrapText="1"/>
    </xf>
    <xf numFmtId="0" fontId="8" fillId="0" borderId="25" xfId="0" applyFont="1" applyBorder="1" applyAlignment="1">
      <alignment vertical="center"/>
    </xf>
    <xf numFmtId="0" fontId="0" fillId="0" borderId="34" xfId="0" applyBorder="1" applyAlignment="1">
      <alignment horizontal="left" vertical="center" wrapText="1"/>
    </xf>
    <xf numFmtId="0" fontId="0" fillId="0" borderId="27" xfId="0" applyBorder="1" applyAlignment="1">
      <alignment vertical="center" wrapText="1"/>
    </xf>
    <xf numFmtId="0" fontId="8" fillId="0" borderId="27" xfId="0" applyFont="1" applyBorder="1" applyAlignment="1">
      <alignment vertical="center"/>
    </xf>
    <xf numFmtId="0" fontId="0" fillId="0" borderId="20" xfId="0" applyBorder="1" applyAlignment="1">
      <alignment vertical="center" wrapText="1"/>
    </xf>
    <xf numFmtId="0" fontId="8" fillId="0" borderId="20" xfId="0" applyFont="1" applyBorder="1" applyAlignment="1">
      <alignment vertical="center"/>
    </xf>
    <xf numFmtId="0" fontId="38" fillId="0" borderId="0" xfId="0" applyFont="1"/>
    <xf numFmtId="0" fontId="8" fillId="0" borderId="18" xfId="0" applyFont="1" applyBorder="1" applyAlignment="1">
      <alignment vertical="center" wrapText="1"/>
    </xf>
    <xf numFmtId="0" fontId="8" fillId="0" borderId="35" xfId="0" applyFont="1" applyBorder="1" applyAlignment="1">
      <alignment horizontal="left" vertical="center" wrapText="1"/>
    </xf>
    <xf numFmtId="0" fontId="8" fillId="0" borderId="41" xfId="0" applyFont="1" applyBorder="1" applyAlignment="1">
      <alignment horizontal="left" vertical="center" wrapText="1"/>
    </xf>
    <xf numFmtId="0" fontId="0" fillId="0" borderId="25" xfId="0" applyBorder="1" applyAlignment="1">
      <alignment vertical="center" wrapText="1"/>
    </xf>
    <xf numFmtId="0" fontId="0" fillId="8" borderId="15" xfId="0" applyFill="1" applyBorder="1" applyAlignment="1">
      <alignment horizontal="center" vertical="center"/>
    </xf>
    <xf numFmtId="0" fontId="0" fillId="0" borderId="53" xfId="0" applyBorder="1" applyAlignment="1">
      <alignment horizontal="left" vertical="center" wrapText="1"/>
    </xf>
    <xf numFmtId="1" fontId="0" fillId="5" borderId="7" xfId="0" applyNumberFormat="1" applyFill="1" applyBorder="1" applyAlignment="1">
      <alignment horizontal="center" vertical="center"/>
    </xf>
    <xf numFmtId="0" fontId="10" fillId="0" borderId="54" xfId="0" applyFont="1" applyBorder="1" applyAlignment="1">
      <alignment vertical="top" wrapText="1"/>
    </xf>
    <xf numFmtId="0" fontId="34" fillId="0" borderId="1" xfId="0" applyFont="1" applyBorder="1" applyAlignment="1">
      <alignment horizontal="center" vertical="center"/>
    </xf>
    <xf numFmtId="0" fontId="16" fillId="0" borderId="0" xfId="0" applyFont="1" applyAlignment="1" applyProtection="1">
      <alignment horizontal="left" vertical="center"/>
      <protection locked="0"/>
    </xf>
    <xf numFmtId="0" fontId="17" fillId="0" borderId="0" xfId="0" applyFont="1" applyAlignment="1">
      <alignment vertical="center"/>
    </xf>
    <xf numFmtId="0" fontId="17" fillId="0" borderId="0" xfId="0" applyFont="1" applyAlignment="1">
      <alignment vertical="center" wrapText="1"/>
    </xf>
    <xf numFmtId="0" fontId="16" fillId="0" borderId="0" xfId="0" applyFont="1" applyAlignment="1">
      <alignment vertical="center"/>
    </xf>
    <xf numFmtId="14" fontId="17" fillId="0" borderId="0" xfId="0" applyNumberFormat="1" applyFont="1" applyAlignment="1">
      <alignment vertical="center"/>
    </xf>
    <xf numFmtId="0" fontId="17" fillId="0" borderId="0" xfId="0" applyFont="1" applyAlignment="1">
      <alignment horizontal="left" vertical="center" wrapText="1"/>
    </xf>
    <xf numFmtId="0" fontId="14" fillId="0" borderId="55" xfId="0" applyFont="1" applyBorder="1" applyAlignment="1">
      <alignment vertical="center"/>
    </xf>
    <xf numFmtId="0" fontId="14" fillId="0" borderId="56" xfId="0" applyFont="1" applyBorder="1" applyAlignment="1">
      <alignment horizontal="center" vertical="center"/>
    </xf>
    <xf numFmtId="0" fontId="14" fillId="0" borderId="56" xfId="0" applyFont="1" applyBorder="1" applyAlignment="1">
      <alignment vertical="center"/>
    </xf>
    <xf numFmtId="0" fontId="14" fillId="0" borderId="57" xfId="0" applyFont="1" applyBorder="1" applyAlignment="1">
      <alignment vertical="center"/>
    </xf>
    <xf numFmtId="0" fontId="14" fillId="0" borderId="58" xfId="0" applyFont="1" applyBorder="1" applyAlignment="1">
      <alignment vertical="center"/>
    </xf>
    <xf numFmtId="0" fontId="14" fillId="0" borderId="59" xfId="0" applyFont="1" applyBorder="1" applyAlignment="1">
      <alignment vertical="center"/>
    </xf>
    <xf numFmtId="0" fontId="14" fillId="0" borderId="1" xfId="0" applyFont="1" applyBorder="1" applyAlignment="1">
      <alignment horizontal="center" vertical="center"/>
    </xf>
    <xf numFmtId="2" fontId="14" fillId="0" borderId="1" xfId="0" applyNumberFormat="1" applyFont="1" applyBorder="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vertical="center" wrapText="1"/>
    </xf>
    <xf numFmtId="0" fontId="40" fillId="0" borderId="28" xfId="0" applyFont="1" applyBorder="1" applyAlignment="1">
      <alignment horizontal="center" vertical="center"/>
    </xf>
    <xf numFmtId="0" fontId="16" fillId="0" borderId="0" xfId="0" applyFont="1" applyAlignment="1">
      <alignment vertical="center" wrapText="1"/>
    </xf>
    <xf numFmtId="0" fontId="41" fillId="0" borderId="1" xfId="0" applyFont="1" applyBorder="1" applyAlignment="1">
      <alignment horizontal="center" vertical="center" wrapText="1"/>
    </xf>
    <xf numFmtId="0" fontId="14" fillId="0" borderId="1" xfId="0" applyFont="1" applyBorder="1" applyAlignment="1">
      <alignment vertical="center" wrapText="1"/>
    </xf>
    <xf numFmtId="2" fontId="14" fillId="0" borderId="0" xfId="0" applyNumberFormat="1" applyFont="1" applyAlignment="1">
      <alignment horizontal="center" vertical="center"/>
    </xf>
    <xf numFmtId="0" fontId="14" fillId="0" borderId="33" xfId="0" applyFont="1" applyBorder="1" applyAlignment="1">
      <alignment horizontal="center" vertical="center"/>
    </xf>
    <xf numFmtId="0" fontId="14" fillId="0" borderId="53" xfId="0" applyFont="1" applyBorder="1" applyAlignment="1">
      <alignment horizontal="center" vertical="center"/>
    </xf>
    <xf numFmtId="0" fontId="14" fillId="0" borderId="53" xfId="0" applyFont="1" applyBorder="1" applyAlignment="1">
      <alignment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4" fillId="0" borderId="28" xfId="0" applyFont="1" applyBorder="1" applyAlignment="1">
      <alignment horizontal="center" vertical="center"/>
    </xf>
    <xf numFmtId="0" fontId="34" fillId="0" borderId="53" xfId="0" applyFont="1" applyBorder="1" applyAlignment="1">
      <alignment horizontal="left" vertical="center"/>
    </xf>
    <xf numFmtId="0" fontId="34" fillId="0" borderId="0" xfId="0" applyFont="1" applyAlignment="1">
      <alignment horizontal="left" vertical="center"/>
    </xf>
    <xf numFmtId="0" fontId="14" fillId="0" borderId="60" xfId="0" applyFont="1" applyBorder="1" applyAlignment="1">
      <alignment vertical="center"/>
    </xf>
    <xf numFmtId="0" fontId="14" fillId="0" borderId="61" xfId="0" applyFont="1" applyBorder="1" applyAlignment="1">
      <alignment horizontal="center" vertical="center"/>
    </xf>
    <xf numFmtId="0" fontId="14" fillId="0" borderId="61" xfId="0" applyFont="1" applyBorder="1" applyAlignment="1">
      <alignment vertical="center"/>
    </xf>
    <xf numFmtId="0" fontId="14" fillId="0" borderId="62" xfId="0" applyFont="1" applyBorder="1" applyAlignment="1">
      <alignment vertical="center"/>
    </xf>
    <xf numFmtId="0" fontId="8" fillId="0" borderId="20" xfId="0" applyFont="1" applyBorder="1" applyAlignment="1">
      <alignment horizontal="left" vertical="center" wrapText="1"/>
    </xf>
    <xf numFmtId="0" fontId="8" fillId="0" borderId="25" xfId="0" applyFont="1" applyBorder="1" applyAlignment="1">
      <alignment horizontal="left" vertical="center" wrapText="1"/>
    </xf>
    <xf numFmtId="0" fontId="26" fillId="3" borderId="0" xfId="0" applyFont="1" applyFill="1" applyAlignment="1">
      <alignment horizontal="center" vertical="center"/>
    </xf>
    <xf numFmtId="0" fontId="0" fillId="2" borderId="29" xfId="0" applyFill="1" applyBorder="1" applyAlignment="1" applyProtection="1">
      <alignment horizontal="center" vertical="center"/>
      <protection locked="0"/>
    </xf>
    <xf numFmtId="14" fontId="17" fillId="0" borderId="0" xfId="0" applyNumberFormat="1" applyFont="1" applyAlignment="1">
      <alignment horizontal="left" vertical="center"/>
    </xf>
    <xf numFmtId="1" fontId="0" fillId="8" borderId="7" xfId="0" applyNumberFormat="1" applyFill="1" applyBorder="1" applyAlignment="1">
      <alignment horizontal="center" vertical="center"/>
    </xf>
    <xf numFmtId="165" fontId="0" fillId="8" borderId="7" xfId="0" applyNumberFormat="1" applyFill="1" applyBorder="1" applyAlignment="1">
      <alignment horizontal="center" vertical="center"/>
    </xf>
    <xf numFmtId="0" fontId="0" fillId="5" borderId="7" xfId="0" applyFill="1" applyBorder="1" applyAlignment="1">
      <alignment horizontal="center" vertical="center"/>
    </xf>
    <xf numFmtId="2" fontId="24" fillId="0" borderId="1" xfId="0" applyNumberFormat="1" applyFont="1" applyBorder="1" applyAlignment="1">
      <alignment horizontal="center" vertical="center"/>
    </xf>
    <xf numFmtId="0" fontId="0" fillId="2" borderId="7" xfId="0" applyFill="1" applyBorder="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44" fillId="0" borderId="0" xfId="0" applyFont="1" applyAlignment="1">
      <alignment horizontal="left" vertical="center"/>
    </xf>
    <xf numFmtId="0" fontId="0" fillId="0" borderId="47" xfId="0" applyBorder="1" applyAlignment="1">
      <alignment horizontal="center" vertical="center" wrapText="1"/>
    </xf>
    <xf numFmtId="0" fontId="0" fillId="0" borderId="35" xfId="0" applyBorder="1" applyAlignment="1">
      <alignment horizontal="center" vertical="center" wrapText="1"/>
    </xf>
    <xf numFmtId="0" fontId="15" fillId="0" borderId="48" xfId="0" applyFont="1" applyBorder="1" applyAlignment="1">
      <alignment horizontal="center" vertical="center"/>
    </xf>
    <xf numFmtId="0" fontId="0" fillId="0" borderId="47" xfId="0" applyBorder="1" applyAlignment="1">
      <alignment horizontal="center" vertical="center"/>
    </xf>
    <xf numFmtId="0" fontId="0" fillId="0" borderId="35" xfId="0" applyBorder="1" applyAlignment="1">
      <alignment horizontal="center" vertical="center"/>
    </xf>
    <xf numFmtId="0" fontId="0" fillId="0" borderId="48" xfId="0" applyBorder="1" applyAlignment="1">
      <alignment horizontal="center" vertical="center"/>
    </xf>
    <xf numFmtId="0" fontId="13" fillId="0" borderId="39" xfId="0" applyFont="1" applyBorder="1" applyAlignment="1">
      <alignment horizontal="center" vertical="center" wrapText="1"/>
    </xf>
    <xf numFmtId="0" fontId="0" fillId="0" borderId="39" xfId="0" applyBorder="1" applyAlignment="1">
      <alignment horizontal="center" vertical="center"/>
    </xf>
    <xf numFmtId="0" fontId="0" fillId="0" borderId="2" xfId="0" applyBorder="1" applyAlignment="1">
      <alignment horizontal="left" vertical="center"/>
    </xf>
    <xf numFmtId="0" fontId="0" fillId="0" borderId="49" xfId="0" applyBorder="1" applyAlignment="1">
      <alignment horizontal="left" vertical="center"/>
    </xf>
    <xf numFmtId="0" fontId="0" fillId="8" borderId="7" xfId="0" applyFill="1" applyBorder="1" applyAlignment="1">
      <alignment horizontal="center" vertical="center"/>
    </xf>
    <xf numFmtId="2" fontId="46" fillId="5" borderId="1" xfId="0" applyNumberFormat="1" applyFont="1" applyFill="1" applyBorder="1" applyAlignment="1">
      <alignment horizontal="center" vertical="center"/>
    </xf>
    <xf numFmtId="0" fontId="8" fillId="0" borderId="52" xfId="0" applyFont="1" applyBorder="1" applyAlignment="1">
      <alignment horizontal="left" vertical="center" wrapText="1"/>
    </xf>
    <xf numFmtId="0" fontId="8" fillId="0" borderId="18" xfId="0" applyFont="1" applyBorder="1" applyAlignment="1">
      <alignment horizontal="left" vertical="center" wrapText="1"/>
    </xf>
    <xf numFmtId="1" fontId="0" fillId="14" borderId="7" xfId="0" applyNumberFormat="1" applyFill="1" applyBorder="1" applyAlignment="1">
      <alignment horizontal="center" vertical="center"/>
    </xf>
    <xf numFmtId="1" fontId="0" fillId="6" borderId="15" xfId="0" applyNumberFormat="1" applyFill="1" applyBorder="1" applyAlignment="1" applyProtection="1">
      <alignment horizontal="center" vertical="center"/>
      <protection locked="0"/>
    </xf>
    <xf numFmtId="0" fontId="34" fillId="15" borderId="1" xfId="0" applyFont="1" applyFill="1" applyBorder="1" applyAlignment="1">
      <alignment horizontal="center" vertical="center"/>
    </xf>
    <xf numFmtId="0" fontId="0" fillId="16" borderId="47" xfId="0" applyFill="1" applyBorder="1" applyAlignment="1">
      <alignment horizontal="center" vertical="center"/>
    </xf>
    <xf numFmtId="0" fontId="0" fillId="16" borderId="39" xfId="0" applyFill="1" applyBorder="1" applyAlignment="1">
      <alignment horizontal="center" vertical="center"/>
    </xf>
    <xf numFmtId="0" fontId="0" fillId="15" borderId="39" xfId="0" applyFill="1" applyBorder="1" applyAlignment="1">
      <alignment horizontal="center" vertical="center"/>
    </xf>
    <xf numFmtId="0" fontId="41" fillId="15" borderId="1" xfId="0" applyFont="1" applyFill="1" applyBorder="1" applyAlignment="1">
      <alignment horizontal="center" vertical="center" wrapText="1"/>
    </xf>
    <xf numFmtId="0" fontId="24" fillId="15"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41" fillId="16" borderId="1" xfId="0" applyFont="1" applyFill="1" applyBorder="1" applyAlignment="1">
      <alignment horizontal="center" vertical="center" wrapText="1"/>
    </xf>
    <xf numFmtId="0" fontId="14" fillId="16" borderId="1" xfId="0" applyFont="1" applyFill="1" applyBorder="1" applyAlignment="1">
      <alignment horizontal="center" vertical="center"/>
    </xf>
    <xf numFmtId="0" fontId="14" fillId="15" borderId="1" xfId="0" applyFont="1" applyFill="1" applyBorder="1" applyAlignment="1">
      <alignment horizontal="center" vertical="center"/>
    </xf>
    <xf numFmtId="0" fontId="24" fillId="0" borderId="0" xfId="0" applyFont="1" applyAlignment="1">
      <alignment vertical="center" wrapText="1"/>
    </xf>
    <xf numFmtId="0" fontId="24" fillId="0" borderId="0" xfId="0" applyFont="1" applyAlignment="1">
      <alignment horizontal="center" vertical="center" wrapText="1"/>
    </xf>
    <xf numFmtId="2" fontId="24" fillId="4" borderId="1" xfId="0" applyNumberFormat="1" applyFont="1" applyFill="1" applyBorder="1" applyAlignment="1">
      <alignment horizontal="center" vertical="center"/>
    </xf>
    <xf numFmtId="0" fontId="39" fillId="9" borderId="24" xfId="0" applyFont="1" applyFill="1" applyBorder="1" applyAlignment="1">
      <alignment horizontal="center" vertical="center" wrapText="1"/>
    </xf>
    <xf numFmtId="0" fontId="0" fillId="4" borderId="5" xfId="0" applyFill="1" applyBorder="1" applyAlignment="1">
      <alignment horizontal="center" vertical="center" wrapText="1"/>
    </xf>
    <xf numFmtId="0" fontId="0" fillId="4" borderId="5" xfId="0" applyFill="1" applyBorder="1" applyAlignment="1">
      <alignment horizontal="center" vertical="center"/>
    </xf>
    <xf numFmtId="1" fontId="0" fillId="0" borderId="5" xfId="0" applyNumberFormat="1" applyBorder="1" applyAlignment="1">
      <alignment horizontal="center" vertical="center"/>
    </xf>
    <xf numFmtId="2" fontId="0" fillId="6" borderId="5" xfId="0" applyNumberFormat="1" applyFill="1" applyBorder="1" applyAlignment="1" applyProtection="1">
      <alignment horizontal="center" vertical="center"/>
      <protection locked="0"/>
    </xf>
    <xf numFmtId="1" fontId="0" fillId="0" borderId="23" xfId="0" applyNumberFormat="1" applyBorder="1" applyAlignment="1">
      <alignment horizontal="center" vertical="center"/>
    </xf>
    <xf numFmtId="2" fontId="0" fillId="0" borderId="5" xfId="0" applyNumberFormat="1" applyBorder="1" applyAlignment="1">
      <alignment horizontal="center" vertical="center"/>
    </xf>
    <xf numFmtId="0" fontId="8" fillId="4" borderId="0" xfId="0" applyFont="1" applyFill="1" applyAlignment="1">
      <alignment horizontal="left" vertical="top" wrapText="1"/>
    </xf>
    <xf numFmtId="0" fontId="0" fillId="4" borderId="23" xfId="0" applyFill="1" applyBorder="1" applyAlignment="1">
      <alignment horizontal="center" vertical="center"/>
    </xf>
    <xf numFmtId="0" fontId="14" fillId="0" borderId="41" xfId="0" applyFont="1" applyBorder="1" applyAlignment="1">
      <alignment horizontal="center" vertical="center"/>
    </xf>
    <xf numFmtId="0" fontId="14" fillId="0" borderId="52" xfId="0" applyFont="1" applyBorder="1" applyAlignment="1">
      <alignment horizontal="center" vertical="center"/>
    </xf>
    <xf numFmtId="0" fontId="14" fillId="0" borderId="18" xfId="0" applyFont="1" applyBorder="1" applyAlignment="1">
      <alignment horizontal="center" vertical="center"/>
    </xf>
    <xf numFmtId="0" fontId="14" fillId="0" borderId="35" xfId="0" applyFont="1" applyBorder="1" applyAlignment="1">
      <alignment horizontal="left" vertical="center"/>
    </xf>
    <xf numFmtId="0" fontId="14" fillId="15" borderId="53" xfId="0" applyFont="1" applyFill="1" applyBorder="1" applyAlignment="1">
      <alignment horizontal="center" vertical="center"/>
    </xf>
    <xf numFmtId="2" fontId="24" fillId="0" borderId="53" xfId="0" applyNumberFormat="1" applyFont="1" applyBorder="1" applyAlignment="1">
      <alignment horizontal="center" vertical="center"/>
    </xf>
    <xf numFmtId="0" fontId="17" fillId="0" borderId="1" xfId="0" applyFont="1" applyBorder="1" applyAlignment="1" applyProtection="1">
      <alignment horizontal="left" vertical="center" wrapText="1"/>
      <protection locked="0"/>
    </xf>
    <xf numFmtId="0" fontId="17" fillId="0" borderId="0" xfId="0" applyFont="1" applyAlignment="1">
      <alignment horizontal="center" vertical="center"/>
    </xf>
    <xf numFmtId="0" fontId="33" fillId="0" borderId="0" xfId="0" applyFont="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4" fillId="0" borderId="0" xfId="0" applyFont="1" applyAlignment="1">
      <alignment vertical="center"/>
    </xf>
    <xf numFmtId="0" fontId="3" fillId="0" borderId="0" xfId="0" applyFont="1" applyAlignment="1">
      <alignment vertical="center"/>
    </xf>
    <xf numFmtId="49" fontId="17" fillId="0" borderId="0" xfId="0" applyNumberFormat="1" applyFont="1" applyAlignment="1" applyProtection="1">
      <alignment horizontal="center" vertical="center"/>
      <protection locked="0"/>
    </xf>
    <xf numFmtId="49" fontId="14" fillId="0" borderId="0" xfId="0" applyNumberFormat="1" applyFont="1" applyAlignment="1" applyProtection="1">
      <alignment horizontal="center" vertical="center"/>
      <protection locked="0"/>
    </xf>
    <xf numFmtId="0" fontId="14" fillId="0" borderId="0" xfId="0" applyFont="1" applyAlignment="1" applyProtection="1">
      <alignment horizontal="left" vertical="center"/>
      <protection locked="0"/>
    </xf>
    <xf numFmtId="0" fontId="17" fillId="0" borderId="0" xfId="0" applyFont="1" applyAlignment="1">
      <alignment horizontal="center" vertical="center" wrapText="1"/>
    </xf>
    <xf numFmtId="0" fontId="2" fillId="0" borderId="0" xfId="0" applyFont="1" applyAlignment="1" applyProtection="1">
      <alignment horizontal="center" vertical="center" wrapText="1"/>
      <protection locked="0"/>
    </xf>
    <xf numFmtId="0" fontId="2" fillId="0" borderId="1" xfId="0" applyFont="1" applyBorder="1" applyAlignment="1">
      <alignment vertical="center" wrapText="1"/>
    </xf>
    <xf numFmtId="0" fontId="8" fillId="0" borderId="0" xfId="0" applyFont="1" applyAlignment="1">
      <alignment horizontal="left" vertical="top" wrapText="1"/>
    </xf>
    <xf numFmtId="3" fontId="0" fillId="6" borderId="7" xfId="0" applyNumberFormat="1" applyFill="1" applyBorder="1" applyAlignment="1" applyProtection="1">
      <alignment horizontal="center" vertical="center"/>
      <protection locked="0"/>
    </xf>
    <xf numFmtId="2" fontId="24" fillId="0" borderId="7" xfId="0" applyNumberFormat="1" applyFont="1" applyBorder="1" applyAlignment="1">
      <alignment horizontal="center" vertical="center" wrapText="1"/>
    </xf>
    <xf numFmtId="2" fontId="24" fillId="0" borderId="15" xfId="0" applyNumberFormat="1" applyFont="1" applyBorder="1" applyAlignment="1">
      <alignment horizontal="center" vertical="center" wrapText="1"/>
    </xf>
    <xf numFmtId="2" fontId="24" fillId="0" borderId="23" xfId="0" applyNumberFormat="1" applyFont="1" applyBorder="1" applyAlignment="1">
      <alignment horizontal="center" vertical="center" wrapText="1"/>
    </xf>
    <xf numFmtId="2" fontId="24" fillId="0" borderId="17" xfId="0" applyNumberFormat="1" applyFont="1" applyBorder="1" applyAlignment="1">
      <alignment horizontal="center" vertical="center" wrapText="1"/>
    </xf>
    <xf numFmtId="2" fontId="24" fillId="0" borderId="15" xfId="0" applyNumberFormat="1" applyFont="1" applyBorder="1" applyAlignment="1">
      <alignment horizontal="center" vertical="top" wrapText="1"/>
    </xf>
    <xf numFmtId="2" fontId="24" fillId="0" borderId="7" xfId="0" applyNumberFormat="1" applyFont="1" applyBorder="1" applyAlignment="1">
      <alignment horizontal="center" vertical="top" wrapText="1"/>
    </xf>
    <xf numFmtId="2" fontId="24" fillId="0" borderId="23" xfId="0" applyNumberFormat="1" applyFont="1" applyBorder="1" applyAlignment="1">
      <alignment horizontal="center" vertical="top" wrapText="1"/>
    </xf>
    <xf numFmtId="2" fontId="24" fillId="0" borderId="17" xfId="0" applyNumberFormat="1" applyFont="1" applyBorder="1" applyAlignment="1">
      <alignment horizontal="center" vertical="top" wrapText="1"/>
    </xf>
    <xf numFmtId="1" fontId="13" fillId="0" borderId="30" xfId="0" applyNumberFormat="1" applyFont="1" applyBorder="1" applyAlignment="1">
      <alignment horizontal="center" vertical="center"/>
    </xf>
    <xf numFmtId="0" fontId="17" fillId="0" borderId="0" xfId="0" applyFont="1" applyAlignment="1" applyProtection="1">
      <alignment horizontal="left" vertical="center" wrapText="1"/>
      <protection locked="0"/>
    </xf>
    <xf numFmtId="2" fontId="12" fillId="13" borderId="26" xfId="0" applyNumberFormat="1" applyFont="1" applyFill="1" applyBorder="1" applyAlignment="1">
      <alignment horizontal="center" vertical="center"/>
    </xf>
    <xf numFmtId="2" fontId="12" fillId="13" borderId="17" xfId="0" applyNumberFormat="1" applyFont="1" applyFill="1" applyBorder="1" applyAlignment="1">
      <alignment horizontal="center" vertical="center"/>
    </xf>
    <xf numFmtId="0" fontId="2" fillId="0" borderId="0" xfId="0" applyFont="1" applyAlignment="1" applyProtection="1">
      <alignment vertical="center"/>
      <protection locked="0"/>
    </xf>
    <xf numFmtId="0" fontId="2" fillId="0" borderId="0" xfId="0" applyFont="1"/>
    <xf numFmtId="0" fontId="2" fillId="0" borderId="0" xfId="0" applyFont="1" applyAlignment="1">
      <alignment wrapText="1"/>
    </xf>
    <xf numFmtId="0" fontId="17" fillId="0" borderId="0" xfId="0" applyFont="1" applyAlignment="1" applyProtection="1">
      <alignment horizontal="left" vertical="top" wrapText="1"/>
      <protection locked="0"/>
    </xf>
    <xf numFmtId="0" fontId="16" fillId="0" borderId="0" xfId="0" applyFont="1" applyAlignment="1">
      <alignment horizontal="left"/>
    </xf>
    <xf numFmtId="0" fontId="49" fillId="0" borderId="1" xfId="0" applyFont="1" applyBorder="1" applyAlignment="1" applyProtection="1">
      <alignment horizontal="left" vertical="center" wrapText="1"/>
      <protection locked="0"/>
    </xf>
    <xf numFmtId="0" fontId="24" fillId="0" borderId="1" xfId="0" applyFont="1" applyBorder="1" applyAlignment="1" applyProtection="1">
      <alignment horizontal="left" vertical="center" wrapText="1"/>
      <protection locked="0"/>
    </xf>
    <xf numFmtId="0" fontId="18" fillId="0" borderId="1" xfId="0" applyFont="1" applyBorder="1" applyAlignment="1" applyProtection="1">
      <alignment horizontal="left" vertical="center" wrapText="1"/>
      <protection locked="0"/>
    </xf>
    <xf numFmtId="0" fontId="50" fillId="0" borderId="1" xfId="0" applyFont="1" applyBorder="1" applyAlignment="1" applyProtection="1">
      <alignment horizontal="left" vertical="center" wrapText="1"/>
      <protection locked="0"/>
    </xf>
    <xf numFmtId="0" fontId="51" fillId="0" borderId="1" xfId="0" applyFont="1" applyBorder="1" applyAlignment="1" applyProtection="1">
      <alignment horizontal="left" vertical="center" wrapText="1"/>
      <protection locked="0"/>
    </xf>
    <xf numFmtId="49" fontId="17" fillId="0" borderId="0" xfId="0" applyNumberFormat="1" applyFont="1" applyAlignment="1" applyProtection="1">
      <alignment horizontal="left" vertical="center"/>
      <protection locked="0"/>
    </xf>
    <xf numFmtId="0" fontId="48" fillId="0" borderId="0" xfId="0" applyFont="1" applyAlignment="1">
      <alignment horizontal="left" vertical="center"/>
    </xf>
    <xf numFmtId="0" fontId="41" fillId="0" borderId="64" xfId="0" applyFont="1" applyBorder="1" applyAlignment="1">
      <alignment vertical="center" wrapText="1"/>
    </xf>
    <xf numFmtId="0" fontId="55" fillId="0" borderId="1" xfId="0" applyFont="1" applyBorder="1" applyAlignment="1">
      <alignment horizontal="left" vertical="top" wrapText="1"/>
    </xf>
    <xf numFmtId="2" fontId="48" fillId="2" borderId="5" xfId="0" applyNumberFormat="1" applyFont="1" applyFill="1" applyBorder="1" applyAlignment="1" applyProtection="1">
      <alignment horizontal="center" vertical="center"/>
      <protection locked="0"/>
    </xf>
    <xf numFmtId="0" fontId="34" fillId="0" borderId="0" xfId="0" applyFont="1" applyAlignment="1">
      <alignment horizontal="center" vertical="center"/>
    </xf>
    <xf numFmtId="2" fontId="39" fillId="7" borderId="0" xfId="0" applyNumberFormat="1" applyFont="1" applyFill="1" applyAlignment="1">
      <alignment horizontal="center" vertical="center"/>
    </xf>
    <xf numFmtId="0" fontId="17" fillId="0" borderId="33" xfId="0" applyFont="1" applyBorder="1" applyAlignment="1">
      <alignment horizontal="left" vertical="center" indent="1"/>
    </xf>
    <xf numFmtId="0" fontId="17" fillId="0" borderId="53" xfId="0" applyFont="1" applyBorder="1" applyAlignment="1">
      <alignment horizontal="left" vertical="center" indent="1"/>
    </xf>
    <xf numFmtId="0" fontId="17" fillId="0" borderId="34" xfId="0" applyFont="1" applyBorder="1" applyAlignment="1">
      <alignment horizontal="left" vertical="center" indent="1"/>
    </xf>
    <xf numFmtId="0" fontId="17" fillId="0" borderId="35" xfId="0" applyFont="1" applyBorder="1" applyAlignment="1">
      <alignment horizontal="left" vertical="center" indent="1"/>
    </xf>
    <xf numFmtId="0" fontId="17" fillId="0" borderId="0" xfId="0" applyFont="1" applyAlignment="1">
      <alignment horizontal="left" vertical="center" indent="1"/>
    </xf>
    <xf numFmtId="0" fontId="17" fillId="0" borderId="28" xfId="0" applyFont="1" applyBorder="1" applyAlignment="1">
      <alignment horizontal="left" vertical="center" indent="1"/>
    </xf>
    <xf numFmtId="0" fontId="17" fillId="0" borderId="41" xfId="0" applyFont="1" applyBorder="1" applyAlignment="1">
      <alignment horizontal="left" vertical="center" indent="1"/>
    </xf>
    <xf numFmtId="0" fontId="17" fillId="0" borderId="52" xfId="0" applyFont="1" applyBorder="1" applyAlignment="1">
      <alignment horizontal="left" vertical="center" indent="1"/>
    </xf>
    <xf numFmtId="0" fontId="17" fillId="0" borderId="18" xfId="0" applyFont="1" applyBorder="1" applyAlignment="1">
      <alignment horizontal="left" vertical="center" indent="1"/>
    </xf>
    <xf numFmtId="2" fontId="16" fillId="0" borderId="1" xfId="0" applyNumberFormat="1" applyFont="1" applyBorder="1" applyAlignment="1">
      <alignment horizontal="center" vertical="center"/>
    </xf>
    <xf numFmtId="0" fontId="17" fillId="0" borderId="1" xfId="0" applyFont="1" applyBorder="1" applyAlignment="1">
      <alignment horizontal="left" vertical="center" indent="1"/>
    </xf>
    <xf numFmtId="0" fontId="16" fillId="0" borderId="1" xfId="0" applyFont="1" applyBorder="1" applyAlignment="1">
      <alignment horizontal="center" vertical="center" wrapText="1"/>
    </xf>
    <xf numFmtId="0" fontId="39" fillId="9" borderId="20" xfId="0" applyFont="1" applyFill="1" applyBorder="1" applyAlignment="1">
      <alignment horizontal="center" vertical="center"/>
    </xf>
    <xf numFmtId="0" fontId="39" fillId="9" borderId="27" xfId="0" applyFont="1" applyFill="1" applyBorder="1" applyAlignment="1">
      <alignment horizontal="center" vertical="center"/>
    </xf>
    <xf numFmtId="0" fontId="39" fillId="9" borderId="25" xfId="0" applyFont="1" applyFill="1" applyBorder="1" applyAlignment="1">
      <alignment horizontal="center" vertical="center"/>
    </xf>
    <xf numFmtId="0" fontId="40" fillId="12" borderId="33" xfId="0" applyFont="1" applyFill="1" applyBorder="1" applyAlignment="1">
      <alignment horizontal="center" vertical="center"/>
    </xf>
    <xf numFmtId="0" fontId="40" fillId="12" borderId="53" xfId="0" applyFont="1" applyFill="1" applyBorder="1" applyAlignment="1">
      <alignment horizontal="center" vertical="center"/>
    </xf>
    <xf numFmtId="0" fontId="40" fillId="12" borderId="34" xfId="0" applyFont="1" applyFill="1" applyBorder="1" applyAlignment="1">
      <alignment horizontal="center" vertical="center"/>
    </xf>
    <xf numFmtId="0" fontId="40" fillId="12" borderId="41" xfId="0" applyFont="1" applyFill="1" applyBorder="1" applyAlignment="1">
      <alignment horizontal="center" vertical="center"/>
    </xf>
    <xf numFmtId="0" fontId="40" fillId="12" borderId="52" xfId="0" applyFont="1" applyFill="1" applyBorder="1" applyAlignment="1">
      <alignment horizontal="center" vertical="center"/>
    </xf>
    <xf numFmtId="0" fontId="40" fillId="12" borderId="18" xfId="0" applyFont="1" applyFill="1" applyBorder="1" applyAlignment="1">
      <alignment horizontal="center" vertical="center"/>
    </xf>
    <xf numFmtId="49" fontId="17" fillId="0" borderId="0" xfId="0" applyNumberFormat="1" applyFont="1" applyAlignment="1" applyProtection="1">
      <alignment horizontal="left"/>
      <protection locked="0"/>
    </xf>
    <xf numFmtId="0" fontId="34" fillId="0" borderId="1" xfId="0" applyFont="1" applyBorder="1" applyAlignment="1">
      <alignment horizontal="center" vertical="center"/>
    </xf>
    <xf numFmtId="0" fontId="39" fillId="7" borderId="1" xfId="0" applyFont="1" applyFill="1" applyBorder="1" applyAlignment="1">
      <alignment horizontal="center" vertical="center"/>
    </xf>
    <xf numFmtId="0" fontId="39" fillId="12" borderId="1" xfId="0" applyFont="1" applyFill="1" applyBorder="1" applyAlignment="1">
      <alignment horizontal="center" vertical="center"/>
    </xf>
    <xf numFmtId="14" fontId="26" fillId="4" borderId="0" xfId="0" applyNumberFormat="1" applyFont="1" applyFill="1" applyAlignment="1">
      <alignment horizontal="left" vertical="center"/>
    </xf>
    <xf numFmtId="0" fontId="26" fillId="4" borderId="0" xfId="0" applyFont="1" applyFill="1" applyAlignment="1">
      <alignment horizontal="left" vertical="center"/>
    </xf>
    <xf numFmtId="0" fontId="26" fillId="3" borderId="0" xfId="0" applyFont="1" applyFill="1" applyAlignment="1">
      <alignment horizontal="center" vertical="center"/>
    </xf>
    <xf numFmtId="0" fontId="29" fillId="3" borderId="0" xfId="0" applyFont="1" applyFill="1" applyAlignment="1">
      <alignment horizontal="center" vertical="center"/>
    </xf>
    <xf numFmtId="0" fontId="28" fillId="10" borderId="0" xfId="0" applyFont="1" applyFill="1" applyAlignment="1">
      <alignment horizontal="center" vertical="center"/>
    </xf>
    <xf numFmtId="0" fontId="28" fillId="11" borderId="0" xfId="0" applyFont="1" applyFill="1" applyAlignment="1">
      <alignment horizontal="center" vertical="center"/>
    </xf>
    <xf numFmtId="0" fontId="26" fillId="4" borderId="0" xfId="0" applyFont="1" applyFill="1" applyAlignment="1">
      <alignment horizontal="left" vertical="center" wrapText="1"/>
    </xf>
    <xf numFmtId="0" fontId="8" fillId="0" borderId="37" xfId="0" applyFont="1" applyBorder="1" applyAlignment="1">
      <alignment horizontal="left" vertical="center"/>
    </xf>
    <xf numFmtId="0" fontId="8" fillId="0" borderId="38" xfId="0" applyFont="1" applyBorder="1" applyAlignment="1">
      <alignment horizontal="left" vertical="center"/>
    </xf>
    <xf numFmtId="0" fontId="8" fillId="0" borderId="40" xfId="0" applyFont="1" applyBorder="1" applyAlignment="1">
      <alignment horizontal="left" vertical="center" wrapText="1"/>
    </xf>
    <xf numFmtId="0" fontId="8" fillId="0" borderId="36" xfId="0" applyFont="1" applyBorder="1" applyAlignment="1">
      <alignment horizontal="left" vertical="center" wrapText="1"/>
    </xf>
    <xf numFmtId="0" fontId="8" fillId="0" borderId="27" xfId="0" applyFont="1" applyBorder="1" applyAlignment="1">
      <alignment horizontal="left" vertical="center"/>
    </xf>
    <xf numFmtId="0" fontId="8" fillId="0" borderId="25" xfId="0" applyFont="1" applyBorder="1" applyAlignment="1">
      <alignment horizontal="left" vertical="center"/>
    </xf>
    <xf numFmtId="0" fontId="8" fillId="0" borderId="27" xfId="0" applyFont="1" applyBorder="1" applyAlignment="1">
      <alignment horizontal="left" vertical="center" wrapText="1"/>
    </xf>
    <xf numFmtId="0" fontId="8" fillId="0" borderId="25" xfId="0" applyFont="1" applyBorder="1" applyAlignment="1">
      <alignment horizontal="left" vertical="center" wrapText="1"/>
    </xf>
    <xf numFmtId="0" fontId="54" fillId="2" borderId="10" xfId="0" applyFont="1" applyFill="1" applyBorder="1" applyAlignment="1" applyProtection="1">
      <alignment horizontal="left" vertical="top" wrapText="1"/>
      <protection locked="0"/>
    </xf>
    <xf numFmtId="0" fontId="0" fillId="2" borderId="0" xfId="0" applyFill="1" applyAlignment="1" applyProtection="1">
      <alignment horizontal="left" vertical="top" wrapText="1"/>
      <protection locked="0"/>
    </xf>
    <xf numFmtId="0" fontId="47" fillId="0" borderId="21" xfId="0" applyFont="1" applyBorder="1" applyAlignment="1">
      <alignment horizontal="center" vertical="center"/>
    </xf>
    <xf numFmtId="0" fontId="0" fillId="0" borderId="38" xfId="0" applyBorder="1"/>
    <xf numFmtId="20" fontId="0" fillId="6" borderId="10" xfId="0" applyNumberFormat="1" applyFill="1" applyBorder="1" applyAlignment="1" applyProtection="1">
      <alignment horizontal="left" vertical="top" wrapText="1"/>
      <protection locked="0"/>
    </xf>
    <xf numFmtId="0" fontId="0" fillId="6" borderId="0" xfId="0" applyFill="1" applyAlignment="1" applyProtection="1">
      <alignment horizontal="left" vertical="top" wrapText="1"/>
      <protection locked="0"/>
    </xf>
    <xf numFmtId="0" fontId="54" fillId="6" borderId="10" xfId="0" applyFont="1" applyFill="1" applyBorder="1" applyAlignment="1" applyProtection="1">
      <alignment horizontal="left" vertical="top" wrapText="1"/>
      <protection locked="0"/>
    </xf>
    <xf numFmtId="0" fontId="13" fillId="2" borderId="10" xfId="0" applyFont="1" applyFill="1" applyBorder="1" applyAlignment="1" applyProtection="1">
      <alignment horizontal="left" vertical="top" wrapText="1"/>
      <protection locked="0"/>
    </xf>
    <xf numFmtId="0" fontId="13" fillId="2" borderId="0" xfId="0" applyFont="1" applyFill="1" applyAlignment="1" applyProtection="1">
      <alignment horizontal="left" vertical="top" wrapText="1"/>
      <protection locked="0"/>
    </xf>
    <xf numFmtId="0" fontId="0" fillId="0" borderId="20" xfId="0" applyBorder="1" applyAlignment="1">
      <alignment horizontal="left" vertical="top" wrapText="1"/>
    </xf>
    <xf numFmtId="0" fontId="0" fillId="0" borderId="25" xfId="0" applyBorder="1" applyAlignment="1">
      <alignment horizontal="left" vertical="top" wrapText="1"/>
    </xf>
    <xf numFmtId="0" fontId="8" fillId="0" borderId="43" xfId="0" applyFont="1" applyBorder="1" applyAlignment="1">
      <alignment horizontal="left" vertical="center" wrapText="1"/>
    </xf>
    <xf numFmtId="0" fontId="8" fillId="0" borderId="20" xfId="0" applyFont="1" applyBorder="1" applyAlignment="1">
      <alignment horizontal="left" vertical="center" wrapText="1"/>
    </xf>
    <xf numFmtId="0" fontId="8" fillId="0" borderId="20" xfId="0" applyFont="1" applyBorder="1" applyAlignment="1">
      <alignment vertical="center" wrapText="1"/>
    </xf>
    <xf numFmtId="0" fontId="8" fillId="0" borderId="25" xfId="0" applyFont="1" applyBorder="1" applyAlignment="1">
      <alignment vertical="center"/>
    </xf>
    <xf numFmtId="0" fontId="53" fillId="2" borderId="10" xfId="0" applyFont="1" applyFill="1" applyBorder="1" applyAlignment="1" applyProtection="1">
      <alignment horizontal="left" vertical="top" wrapText="1"/>
      <protection locked="0"/>
    </xf>
    <xf numFmtId="0" fontId="48" fillId="2" borderId="0" xfId="0" applyFont="1" applyFill="1" applyAlignment="1" applyProtection="1">
      <alignment horizontal="left" vertical="top" wrapText="1"/>
      <protection locked="0"/>
    </xf>
    <xf numFmtId="0" fontId="8" fillId="0" borderId="21" xfId="0" applyFont="1" applyBorder="1" applyAlignment="1">
      <alignment horizontal="left" vertical="center"/>
    </xf>
    <xf numFmtId="0" fontId="8" fillId="2" borderId="10" xfId="0" applyFont="1" applyFill="1" applyBorder="1" applyAlignment="1" applyProtection="1">
      <alignment horizontal="left" vertical="top" wrapText="1"/>
      <protection locked="0"/>
    </xf>
    <xf numFmtId="0" fontId="8" fillId="2" borderId="0" xfId="0" applyFont="1" applyFill="1" applyAlignment="1" applyProtection="1">
      <alignment horizontal="left" vertical="top" wrapText="1"/>
      <protection locked="0"/>
    </xf>
    <xf numFmtId="0" fontId="8" fillId="6" borderId="10" xfId="0" applyFont="1" applyFill="1" applyBorder="1" applyAlignment="1" applyProtection="1">
      <alignment horizontal="left" vertical="top" wrapText="1"/>
      <protection locked="0"/>
    </xf>
    <xf numFmtId="0" fontId="8" fillId="6" borderId="0" xfId="0" applyFont="1" applyFill="1" applyAlignment="1" applyProtection="1">
      <alignment horizontal="left" vertical="top" wrapText="1"/>
      <protection locked="0"/>
    </xf>
    <xf numFmtId="0" fontId="0" fillId="2" borderId="10" xfId="0" applyFill="1" applyBorder="1" applyAlignment="1" applyProtection="1">
      <alignment horizontal="left" vertical="top" wrapText="1"/>
      <protection locked="0"/>
    </xf>
    <xf numFmtId="0" fontId="44" fillId="0" borderId="63" xfId="0" applyFont="1" applyBorder="1" applyAlignment="1">
      <alignment horizontal="left" vertical="center" wrapText="1"/>
    </xf>
    <xf numFmtId="0" fontId="8" fillId="0" borderId="40" xfId="0" applyFont="1" applyBorder="1" applyAlignment="1">
      <alignment horizontal="left" vertical="center"/>
    </xf>
    <xf numFmtId="0" fontId="8" fillId="0" borderId="36" xfId="0" applyFont="1" applyBorder="1" applyAlignment="1">
      <alignment horizontal="left" vertical="center"/>
    </xf>
    <xf numFmtId="0" fontId="19" fillId="10" borderId="0" xfId="0" applyFont="1" applyFill="1" applyAlignment="1">
      <alignment horizontal="center" vertical="center"/>
    </xf>
    <xf numFmtId="0" fontId="43" fillId="10" borderId="0" xfId="0" applyFont="1" applyFill="1" applyAlignment="1">
      <alignment horizontal="center" vertical="center"/>
    </xf>
    <xf numFmtId="0" fontId="20" fillId="10" borderId="0" xfId="0" applyFont="1" applyFill="1" applyAlignment="1">
      <alignment horizontal="center" vertical="center"/>
    </xf>
    <xf numFmtId="0" fontId="8" fillId="0" borderId="9" xfId="0" applyFont="1" applyBorder="1" applyAlignment="1">
      <alignment horizontal="left" vertical="center"/>
    </xf>
    <xf numFmtId="0" fontId="13" fillId="0" borderId="8" xfId="0" applyFont="1" applyBorder="1" applyAlignment="1">
      <alignment horizontal="left" vertical="center" wrapText="1"/>
    </xf>
    <xf numFmtId="0" fontId="9" fillId="9" borderId="44" xfId="0" applyFont="1" applyFill="1" applyBorder="1" applyAlignment="1">
      <alignment horizontal="center" vertical="center" wrapText="1"/>
    </xf>
    <xf numFmtId="0" fontId="9" fillId="9" borderId="42" xfId="0" applyFont="1" applyFill="1" applyBorder="1" applyAlignment="1">
      <alignment horizontal="center" vertical="center" wrapText="1"/>
    </xf>
    <xf numFmtId="0" fontId="8" fillId="0" borderId="8" xfId="0" applyFont="1" applyBorder="1" applyAlignment="1">
      <alignment horizontal="left" vertical="center" wrapText="1"/>
    </xf>
    <xf numFmtId="0" fontId="48" fillId="2" borderId="10" xfId="0" applyFont="1" applyFill="1" applyBorder="1" applyAlignment="1" applyProtection="1">
      <alignment horizontal="left" vertical="top" wrapText="1"/>
      <protection locked="0"/>
    </xf>
    <xf numFmtId="0" fontId="8" fillId="17" borderId="20" xfId="0" applyFont="1" applyFill="1" applyBorder="1" applyAlignment="1">
      <alignment horizontal="left" vertical="center" wrapText="1"/>
    </xf>
    <xf numFmtId="0" fontId="8" fillId="17" borderId="25" xfId="0" applyFont="1" applyFill="1" applyBorder="1" applyAlignment="1">
      <alignment horizontal="left" vertical="center" wrapText="1"/>
    </xf>
    <xf numFmtId="0" fontId="8" fillId="4" borderId="8" xfId="0" applyFont="1" applyFill="1" applyBorder="1" applyAlignment="1">
      <alignment horizontal="left" vertical="center" wrapText="1"/>
    </xf>
    <xf numFmtId="0" fontId="13" fillId="6" borderId="10" xfId="0" applyFont="1" applyFill="1" applyBorder="1" applyAlignment="1" applyProtection="1">
      <alignment horizontal="left" vertical="top" wrapText="1"/>
      <protection locked="0"/>
    </xf>
    <xf numFmtId="0" fontId="13" fillId="6" borderId="0" xfId="0" applyFont="1" applyFill="1" applyAlignment="1" applyProtection="1">
      <alignment horizontal="left" vertical="top" wrapText="1"/>
      <protection locked="0"/>
    </xf>
    <xf numFmtId="0" fontId="8" fillId="0" borderId="21" xfId="0" applyFont="1" applyBorder="1" applyAlignment="1">
      <alignment horizontal="right" vertical="center"/>
    </xf>
    <xf numFmtId="0" fontId="8" fillId="0" borderId="38" xfId="0" applyFont="1" applyBorder="1" applyAlignment="1">
      <alignment horizontal="right" vertical="center"/>
    </xf>
    <xf numFmtId="0" fontId="0" fillId="6" borderId="10" xfId="0" applyFill="1" applyBorder="1" applyAlignment="1" applyProtection="1">
      <alignment horizontal="left" vertical="top" wrapText="1"/>
      <protection locked="0"/>
    </xf>
    <xf numFmtId="0" fontId="17" fillId="0" borderId="0" xfId="0" applyFont="1" applyAlignment="1">
      <alignment horizontal="left" vertical="top"/>
    </xf>
    <xf numFmtId="0" fontId="16" fillId="0" borderId="0" xfId="0" applyFont="1" applyAlignment="1">
      <alignment horizontal="center" vertical="center"/>
    </xf>
    <xf numFmtId="0" fontId="23" fillId="0" borderId="0" xfId="0" applyFont="1" applyAlignment="1">
      <alignment horizontal="center"/>
    </xf>
    <xf numFmtId="0" fontId="17" fillId="0" borderId="0" xfId="0" applyFont="1" applyAlignment="1" applyProtection="1">
      <alignment horizontal="left" vertical="top"/>
      <protection locked="0"/>
    </xf>
    <xf numFmtId="0" fontId="16" fillId="0" borderId="0" xfId="0" applyFont="1" applyAlignment="1">
      <alignment horizontal="center" vertical="center" wrapText="1"/>
    </xf>
    <xf numFmtId="0" fontId="17" fillId="0" borderId="0" xfId="0" applyFont="1" applyAlignment="1" applyProtection="1">
      <alignment horizontal="left" vertical="center" wrapText="1"/>
      <protection locked="0"/>
    </xf>
    <xf numFmtId="0" fontId="17" fillId="0" borderId="0" xfId="0" applyFont="1" applyAlignment="1" applyProtection="1">
      <alignment horizontal="left" vertical="center"/>
      <protection locked="0"/>
    </xf>
    <xf numFmtId="0" fontId="17" fillId="0" borderId="0" xfId="0" applyFont="1" applyAlignment="1">
      <alignment horizontal="left" vertical="center" wrapText="1"/>
    </xf>
    <xf numFmtId="0" fontId="24" fillId="0" borderId="0" xfId="0" applyFont="1" applyAlignment="1" applyProtection="1">
      <alignment horizontal="left" vertical="center" wrapText="1"/>
      <protection locked="0"/>
    </xf>
    <xf numFmtId="0" fontId="14" fillId="0" borderId="0" xfId="0" applyFont="1" applyAlignment="1" applyProtection="1">
      <alignment horizontal="left" vertical="center"/>
      <protection locked="0"/>
    </xf>
    <xf numFmtId="0" fontId="1" fillId="0" borderId="0" xfId="0" applyFont="1" applyAlignment="1" applyProtection="1">
      <alignment horizontal="left" vertical="center"/>
      <protection locked="0"/>
    </xf>
    <xf numFmtId="0" fontId="34" fillId="0" borderId="0" xfId="0" applyFont="1" applyAlignment="1" applyProtection="1">
      <alignment horizontal="left" vertical="center"/>
      <protection locked="0"/>
    </xf>
    <xf numFmtId="0" fontId="1" fillId="0" borderId="0" xfId="0" applyFont="1" applyAlignment="1" applyProtection="1">
      <alignment horizontal="left" wrapText="1"/>
      <protection locked="0"/>
    </xf>
    <xf numFmtId="0" fontId="14" fillId="0" borderId="0" xfId="0" applyFont="1" applyAlignment="1" applyProtection="1">
      <alignment horizontal="left" wrapText="1"/>
      <protection locked="0"/>
    </xf>
    <xf numFmtId="0" fontId="17" fillId="0" borderId="0" xfId="0" applyFont="1" applyAlignment="1" applyProtection="1">
      <alignment horizontal="left" vertical="top" wrapText="1"/>
      <protection locked="0"/>
    </xf>
    <xf numFmtId="14" fontId="17" fillId="0" borderId="0" xfId="0" applyNumberFormat="1" applyFont="1" applyAlignment="1" applyProtection="1">
      <alignment horizontal="left" vertical="top" wrapText="1"/>
      <protection locked="0"/>
    </xf>
    <xf numFmtId="0" fontId="25" fillId="0" borderId="43" xfId="0" applyFont="1" applyBorder="1" applyAlignment="1">
      <alignment horizontal="center" vertical="center" wrapText="1"/>
    </xf>
    <xf numFmtId="0" fontId="25" fillId="0" borderId="40" xfId="0" applyFont="1" applyBorder="1" applyAlignment="1">
      <alignment horizontal="center" vertical="center" wrapText="1"/>
    </xf>
    <xf numFmtId="0" fontId="25" fillId="0" borderId="36" xfId="0" applyFont="1" applyBorder="1" applyAlignment="1">
      <alignment horizontal="center" vertical="center" wrapText="1"/>
    </xf>
    <xf numFmtId="0" fontId="17" fillId="0" borderId="0" xfId="0" applyFont="1" applyAlignment="1">
      <alignment horizontal="left" vertical="top" wrapText="1"/>
    </xf>
    <xf numFmtId="0" fontId="25" fillId="0" borderId="5" xfId="0" applyFont="1" applyBorder="1" applyAlignment="1">
      <alignment horizontal="center" vertical="center" wrapText="1"/>
    </xf>
    <xf numFmtId="0" fontId="25" fillId="0" borderId="7" xfId="0" applyFont="1" applyBorder="1" applyAlignment="1">
      <alignment horizontal="center" vertical="center" wrapText="1"/>
    </xf>
    <xf numFmtId="0" fontId="16" fillId="0" borderId="0" xfId="0" applyFont="1" applyAlignment="1">
      <alignment horizontal="center" vertical="top" wrapText="1"/>
    </xf>
    <xf numFmtId="0" fontId="16" fillId="0" borderId="0" xfId="0" applyFont="1" applyAlignment="1">
      <alignment horizontal="center" vertical="top"/>
    </xf>
    <xf numFmtId="0" fontId="25" fillId="0" borderId="6"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1" xfId="0" applyFont="1" applyBorder="1" applyAlignment="1">
      <alignment horizontal="center" vertical="center" wrapText="1"/>
    </xf>
    <xf numFmtId="0" fontId="17" fillId="0" borderId="0" xfId="0" applyFont="1" applyAlignment="1">
      <alignment horizontal="left" wrapText="1"/>
    </xf>
    <xf numFmtId="0" fontId="17" fillId="0" borderId="0" xfId="0" applyFont="1" applyAlignment="1">
      <alignment horizontal="left"/>
    </xf>
    <xf numFmtId="0" fontId="16" fillId="0" borderId="0" xfId="0" applyFont="1" applyAlignment="1">
      <alignment horizontal="left"/>
    </xf>
    <xf numFmtId="0" fontId="34" fillId="0" borderId="0" xfId="0" applyFont="1"/>
    <xf numFmtId="0" fontId="14" fillId="0" borderId="35" xfId="0" applyFont="1" applyBorder="1" applyAlignment="1">
      <alignment horizontal="center" vertical="center"/>
    </xf>
    <xf numFmtId="0" fontId="14" fillId="0" borderId="0" xfId="0" applyFont="1" applyAlignment="1">
      <alignment horizontal="center" vertical="center"/>
    </xf>
    <xf numFmtId="0" fontId="14" fillId="0" borderId="28" xfId="0" applyFont="1" applyBorder="1" applyAlignment="1">
      <alignment horizontal="center" vertical="center"/>
    </xf>
    <xf numFmtId="0" fontId="14" fillId="0" borderId="41" xfId="0" applyFont="1" applyBorder="1" applyAlignment="1">
      <alignment horizontal="center" vertical="center"/>
    </xf>
    <xf numFmtId="0" fontId="14" fillId="0" borderId="52" xfId="0" applyFont="1" applyBorder="1" applyAlignment="1">
      <alignment horizontal="center" vertical="center"/>
    </xf>
    <xf numFmtId="0" fontId="14" fillId="0" borderId="18" xfId="0" applyFont="1" applyBorder="1" applyAlignment="1">
      <alignment horizontal="center" vertical="center"/>
    </xf>
    <xf numFmtId="0" fontId="24" fillId="0" borderId="64" xfId="0" applyFont="1" applyBorder="1" applyAlignment="1">
      <alignment horizontal="left" vertical="top" wrapText="1"/>
    </xf>
    <xf numFmtId="0" fontId="49" fillId="0" borderId="64" xfId="0" applyFont="1" applyBorder="1" applyAlignment="1">
      <alignment horizontal="left" vertical="top" wrapText="1"/>
    </xf>
    <xf numFmtId="0" fontId="1" fillId="0" borderId="64" xfId="0" applyFont="1" applyBorder="1" applyAlignment="1">
      <alignment horizontal="left" vertical="top" wrapText="1"/>
    </xf>
    <xf numFmtId="0" fontId="24" fillId="0" borderId="30" xfId="0" applyFont="1" applyBorder="1" applyAlignment="1">
      <alignment horizontal="left" vertical="top" wrapText="1"/>
    </xf>
    <xf numFmtId="0" fontId="1" fillId="0" borderId="7" xfId="0" applyFont="1" applyBorder="1" applyAlignment="1">
      <alignment horizontal="left" vertical="top" wrapText="1"/>
    </xf>
    <xf numFmtId="0" fontId="1" fillId="0" borderId="17" xfId="0" applyFont="1" applyBorder="1" applyAlignment="1">
      <alignment horizontal="left" vertical="top" wrapText="1"/>
    </xf>
    <xf numFmtId="0" fontId="24" fillId="0" borderId="5" xfId="0" applyFont="1" applyBorder="1" applyAlignment="1">
      <alignment horizontal="left" vertical="top" wrapText="1"/>
    </xf>
    <xf numFmtId="0" fontId="24" fillId="0" borderId="7" xfId="0" applyFont="1" applyBorder="1" applyAlignment="1">
      <alignment horizontal="left" vertical="top" wrapText="1"/>
    </xf>
  </cellXfs>
  <cellStyles count="3">
    <cellStyle name="Normal" xfId="0" builtinId="0"/>
    <cellStyle name="Percent" xfId="1" builtinId="5"/>
    <cellStyle name="Percent 2" xfId="2" xr:uid="{00000000-0005-0000-0000-000002000000}"/>
  </cellStyles>
  <dxfs count="15">
    <dxf>
      <fill>
        <patternFill>
          <bgColor theme="0"/>
        </patternFill>
      </fill>
    </dxf>
    <dxf>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s>
  <tableStyles count="0" defaultTableStyle="TableStyleMedium9" defaultPivotStyle="PivotStyleLight16"/>
  <colors>
    <mruColors>
      <color rgb="FF66FF33"/>
      <color rgb="FFD48B6A"/>
      <color rgb="FF00FF00"/>
      <color rgb="FFCD7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112059</xdr:colOff>
      <xdr:row>29</xdr:row>
      <xdr:rowOff>82176</xdr:rowOff>
    </xdr:from>
    <xdr:to>
      <xdr:col>3</xdr:col>
      <xdr:colOff>283883</xdr:colOff>
      <xdr:row>35</xdr:row>
      <xdr:rowOff>104588</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112059" y="6324226"/>
          <a:ext cx="1632324" cy="173691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1524000</xdr:colOff>
      <xdr:row>63</xdr:row>
      <xdr:rowOff>104775</xdr:rowOff>
    </xdr:from>
    <xdr:to>
      <xdr:col>3</xdr:col>
      <xdr:colOff>2206183</xdr:colOff>
      <xdr:row>66</xdr:row>
      <xdr:rowOff>225624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2286000" y="133464300"/>
          <a:ext cx="2225233" cy="835224"/>
        </a:xfrm>
        <a:prstGeom prst="rect">
          <a:avLst/>
        </a:prstGeom>
      </xdr:spPr>
    </xdr:pic>
    <xdr:clientData/>
  </xdr:twoCellAnchor>
  <xdr:twoCellAnchor editAs="oneCell">
    <xdr:from>
      <xdr:col>3</xdr:col>
      <xdr:colOff>61914</xdr:colOff>
      <xdr:row>68</xdr:row>
      <xdr:rowOff>147638</xdr:rowOff>
    </xdr:from>
    <xdr:to>
      <xdr:col>3</xdr:col>
      <xdr:colOff>1532096</xdr:colOff>
      <xdr:row>72</xdr:row>
      <xdr:rowOff>22338</xdr:rowOff>
    </xdr:to>
    <xdr:pic>
      <xdr:nvPicPr>
        <xdr:cNvPr id="4" name="Picture 3">
          <a:extLst>
            <a:ext uri="{FF2B5EF4-FFF2-40B4-BE49-F238E27FC236}">
              <a16:creationId xmlns:a16="http://schemas.microsoft.com/office/drawing/2014/main" id="{8F490B65-2021-4753-8FAA-8252332A12DF}"/>
            </a:ext>
          </a:extLst>
        </xdr:cNvPr>
        <xdr:cNvPicPr>
          <a:picLocks noChangeAspect="1"/>
        </xdr:cNvPicPr>
      </xdr:nvPicPr>
      <xdr:blipFill>
        <a:blip xmlns:r="http://schemas.openxmlformats.org/officeDocument/2006/relationships" r:embed="rId2">
          <a:clrChange>
            <a:clrFrom>
              <a:srgbClr val="F9FCFB"/>
            </a:clrFrom>
            <a:clrTo>
              <a:srgbClr val="F9FCFB">
                <a:alpha val="0"/>
              </a:srgbClr>
            </a:clrTo>
          </a:clrChange>
        </a:blip>
        <a:srcRect l="2177" t="9364" r="2692" b="-9480"/>
        <a:stretch>
          <a:fillRect/>
        </a:stretch>
      </xdr:blipFill>
      <xdr:spPr>
        <a:xfrm rot="21415273">
          <a:off x="2528889" y="137274301"/>
          <a:ext cx="1470182" cy="674799"/>
        </a:xfrm>
        <a:prstGeom prst="rect">
          <a:avLst/>
        </a:prstGeom>
        <a:noFill/>
        <a:ln w="9525" cap="flat" cmpd="sng">
          <a:solidFill>
            <a:srgbClr val="FFFFFF"/>
          </a:solidFill>
          <a:prstDash val="solid"/>
          <a:round/>
          <a:headEnd type="none" w="med" len="med"/>
          <a:tailEnd type="none" w="med" len="me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71</xdr:row>
      <xdr:rowOff>0</xdr:rowOff>
    </xdr:from>
    <xdr:to>
      <xdr:col>7</xdr:col>
      <xdr:colOff>46389</xdr:colOff>
      <xdr:row>74</xdr:row>
      <xdr:rowOff>204193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536031" y="70961250"/>
          <a:ext cx="2225233" cy="835224"/>
        </a:xfrm>
        <a:prstGeom prst="rect">
          <a:avLst/>
        </a:prstGeom>
      </xdr:spPr>
    </xdr:pic>
    <xdr:clientData/>
  </xdr:twoCellAnchor>
  <xdr:twoCellAnchor editAs="oneCell">
    <xdr:from>
      <xdr:col>6</xdr:col>
      <xdr:colOff>226220</xdr:colOff>
      <xdr:row>76</xdr:row>
      <xdr:rowOff>125015</xdr:rowOff>
    </xdr:from>
    <xdr:to>
      <xdr:col>6</xdr:col>
      <xdr:colOff>1696402</xdr:colOff>
      <xdr:row>80</xdr:row>
      <xdr:rowOff>37814</xdr:rowOff>
    </xdr:to>
    <xdr:pic>
      <xdr:nvPicPr>
        <xdr:cNvPr id="5" name="Picture 4">
          <a:extLst>
            <a:ext uri="{FF2B5EF4-FFF2-40B4-BE49-F238E27FC236}">
              <a16:creationId xmlns:a16="http://schemas.microsoft.com/office/drawing/2014/main" id="{14C5FE9E-281F-41B9-834D-EDE7ECC9EBC8}"/>
            </a:ext>
          </a:extLst>
        </xdr:cNvPr>
        <xdr:cNvPicPr>
          <a:picLocks noChangeAspect="1"/>
        </xdr:cNvPicPr>
      </xdr:nvPicPr>
      <xdr:blipFill>
        <a:blip xmlns:r="http://schemas.openxmlformats.org/officeDocument/2006/relationships" r:embed="rId2">
          <a:clrChange>
            <a:clrFrom>
              <a:srgbClr val="F9FCFB"/>
            </a:clrFrom>
            <a:clrTo>
              <a:srgbClr val="F9FCFB">
                <a:alpha val="0"/>
              </a:srgbClr>
            </a:clrTo>
          </a:clrChange>
        </a:blip>
        <a:srcRect l="2177" t="9364" r="2692" b="-9480"/>
        <a:stretch>
          <a:fillRect/>
        </a:stretch>
      </xdr:blipFill>
      <xdr:spPr>
        <a:xfrm rot="21415273">
          <a:off x="2934893" y="71901844"/>
          <a:ext cx="1470182" cy="674799"/>
        </a:xfrm>
        <a:prstGeom prst="rect">
          <a:avLst/>
        </a:prstGeom>
        <a:noFill/>
        <a:ln w="9525" cap="flat" cmpd="sng">
          <a:solidFill>
            <a:srgbClr val="FFFFFF"/>
          </a:solidFill>
          <a:prstDash val="solid"/>
          <a:round/>
          <a:headEnd type="none" w="med" len="med"/>
          <a:tailEnd type="none" w="med" len="me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143387</xdr:colOff>
      <xdr:row>78</xdr:row>
      <xdr:rowOff>43059</xdr:rowOff>
    </xdr:from>
    <xdr:to>
      <xdr:col>8</xdr:col>
      <xdr:colOff>38837</xdr:colOff>
      <xdr:row>82</xdr:row>
      <xdr:rowOff>22213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703871" y="30983946"/>
          <a:ext cx="2230611" cy="839477"/>
        </a:xfrm>
        <a:prstGeom prst="rect">
          <a:avLst/>
        </a:prstGeom>
      </xdr:spPr>
    </xdr:pic>
    <xdr:clientData/>
  </xdr:twoCellAnchor>
  <xdr:twoCellAnchor editAs="oneCell">
    <xdr:from>
      <xdr:col>4</xdr:col>
      <xdr:colOff>204837</xdr:colOff>
      <xdr:row>81</xdr:row>
      <xdr:rowOff>174112</xdr:rowOff>
    </xdr:from>
    <xdr:to>
      <xdr:col>6</xdr:col>
      <xdr:colOff>425503</xdr:colOff>
      <xdr:row>85</xdr:row>
      <xdr:rowOff>50040</xdr:rowOff>
    </xdr:to>
    <xdr:pic>
      <xdr:nvPicPr>
        <xdr:cNvPr id="4" name="Picture 3">
          <a:extLst>
            <a:ext uri="{FF2B5EF4-FFF2-40B4-BE49-F238E27FC236}">
              <a16:creationId xmlns:a16="http://schemas.microsoft.com/office/drawing/2014/main" id="{9E89AE41-EDF4-4F8B-BE91-EC816A527BF5}"/>
            </a:ext>
          </a:extLst>
        </xdr:cNvPr>
        <xdr:cNvPicPr>
          <a:picLocks noChangeAspect="1"/>
        </xdr:cNvPicPr>
      </xdr:nvPicPr>
      <xdr:blipFill>
        <a:blip xmlns:r="http://schemas.openxmlformats.org/officeDocument/2006/relationships" r:embed="rId2">
          <a:clrChange>
            <a:clrFrom>
              <a:srgbClr val="F9FCFB"/>
            </a:clrFrom>
            <a:clrTo>
              <a:srgbClr val="F9FCFB">
                <a:alpha val="0"/>
              </a:srgbClr>
            </a:clrTo>
          </a:clrChange>
        </a:blip>
        <a:srcRect l="2177" t="9364" r="2692" b="-9480"/>
        <a:stretch>
          <a:fillRect/>
        </a:stretch>
      </xdr:blipFill>
      <xdr:spPr>
        <a:xfrm rot="21415273">
          <a:off x="2954797" y="31601492"/>
          <a:ext cx="1470182" cy="674799"/>
        </a:xfrm>
        <a:prstGeom prst="rect">
          <a:avLst/>
        </a:prstGeom>
        <a:noFill/>
        <a:ln w="9525" cap="flat" cmpd="sng">
          <a:solidFill>
            <a:srgbClr val="FFFFFF"/>
          </a:solidFill>
          <a:prstDash val="solid"/>
          <a:round/>
          <a:headEnd type="none" w="med" len="med"/>
          <a:tailEnd type="none" w="med" len="me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68036</xdr:colOff>
      <xdr:row>58</xdr:row>
      <xdr:rowOff>27213</xdr:rowOff>
    </xdr:from>
    <xdr:to>
      <xdr:col>14</xdr:col>
      <xdr:colOff>258536</xdr:colOff>
      <xdr:row>62</xdr:row>
      <xdr:rowOff>148782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3416643" y="11144249"/>
          <a:ext cx="2354036" cy="883569"/>
        </a:xfrm>
        <a:prstGeom prst="rect">
          <a:avLst/>
        </a:prstGeom>
      </xdr:spPr>
    </xdr:pic>
    <xdr:clientData/>
  </xdr:twoCellAnchor>
  <xdr:twoCellAnchor editAs="oneCell">
    <xdr:from>
      <xdr:col>12</xdr:col>
      <xdr:colOff>27214</xdr:colOff>
      <xdr:row>64</xdr:row>
      <xdr:rowOff>27215</xdr:rowOff>
    </xdr:from>
    <xdr:to>
      <xdr:col>13</xdr:col>
      <xdr:colOff>689948</xdr:colOff>
      <xdr:row>67</xdr:row>
      <xdr:rowOff>77561</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14097000" y="12287251"/>
          <a:ext cx="1383912" cy="621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
  <sheetViews>
    <sheetView topLeftCell="A6" zoomScale="86" zoomScaleNormal="60" zoomScalePageLayoutView="60" workbookViewId="0">
      <selection activeCell="H8" sqref="H8:K8"/>
    </sheetView>
  </sheetViews>
  <sheetFormatPr defaultColWidth="8.73046875" defaultRowHeight="15" customHeight="1"/>
  <cols>
    <col min="1" max="1" width="3.73046875" style="2" customWidth="1"/>
    <col min="2" max="11" width="8.73046875" style="2" customWidth="1"/>
    <col min="12" max="13" width="3.1328125" style="2" customWidth="1"/>
    <col min="14" max="23" width="8.73046875" style="2" customWidth="1"/>
    <col min="24" max="24" width="2.73046875" style="2" customWidth="1"/>
    <col min="25" max="16384" width="8.73046875" style="2"/>
  </cols>
  <sheetData>
    <row r="1" spans="1:24" ht="15" customHeight="1">
      <c r="A1" s="119"/>
      <c r="B1" s="119"/>
      <c r="C1" s="119"/>
      <c r="D1" s="120"/>
      <c r="E1" s="120"/>
      <c r="F1" s="120"/>
      <c r="G1" s="120"/>
      <c r="H1" s="123"/>
      <c r="I1" s="120"/>
      <c r="J1" s="120"/>
      <c r="K1" s="120"/>
      <c r="L1" s="120"/>
      <c r="M1" s="120"/>
      <c r="N1" s="120"/>
      <c r="O1" s="120"/>
      <c r="P1" s="120"/>
      <c r="Q1" s="120"/>
      <c r="R1" s="120"/>
      <c r="S1" s="120"/>
      <c r="T1" s="120"/>
      <c r="U1" s="120"/>
      <c r="V1" s="120"/>
      <c r="W1" s="120"/>
      <c r="X1" s="120"/>
    </row>
    <row r="2" spans="1:24" ht="27" customHeight="1">
      <c r="A2" s="353" t="s">
        <v>81</v>
      </c>
      <c r="B2" s="353"/>
      <c r="C2" s="353"/>
      <c r="D2" s="353"/>
      <c r="E2" s="353"/>
      <c r="F2" s="353"/>
      <c r="G2" s="353"/>
      <c r="H2" s="353"/>
      <c r="I2" s="353"/>
      <c r="J2" s="353"/>
      <c r="K2" s="353"/>
      <c r="L2" s="353"/>
      <c r="M2" s="353"/>
      <c r="N2" s="353"/>
      <c r="O2" s="353"/>
      <c r="P2" s="353"/>
      <c r="Q2" s="353"/>
      <c r="R2" s="353"/>
      <c r="S2" s="353"/>
      <c r="T2" s="353"/>
      <c r="U2" s="353"/>
      <c r="V2" s="353"/>
      <c r="W2" s="353"/>
      <c r="X2" s="353"/>
    </row>
    <row r="3" spans="1:24" ht="27" customHeight="1">
      <c r="A3" s="354" t="s">
        <v>454</v>
      </c>
      <c r="B3" s="354"/>
      <c r="C3" s="354"/>
      <c r="D3" s="354"/>
      <c r="E3" s="354"/>
      <c r="F3" s="354"/>
      <c r="G3" s="354"/>
      <c r="H3" s="354"/>
      <c r="I3" s="354"/>
      <c r="J3" s="354"/>
      <c r="K3" s="354"/>
      <c r="L3" s="354"/>
      <c r="M3" s="354"/>
      <c r="N3" s="354"/>
      <c r="O3" s="354"/>
      <c r="P3" s="354"/>
      <c r="Q3" s="354"/>
      <c r="R3" s="354"/>
      <c r="S3" s="354"/>
      <c r="T3" s="354"/>
      <c r="U3" s="354"/>
      <c r="V3" s="354"/>
      <c r="W3" s="354"/>
      <c r="X3" s="354"/>
    </row>
    <row r="4" spans="1:24" ht="15" customHeight="1">
      <c r="A4" s="120"/>
      <c r="B4" s="120"/>
      <c r="C4" s="120"/>
      <c r="D4" s="120"/>
      <c r="E4" s="120"/>
      <c r="F4" s="120"/>
      <c r="G4" s="121"/>
      <c r="H4" s="121"/>
      <c r="I4" s="121"/>
      <c r="J4" s="121"/>
      <c r="K4" s="121"/>
      <c r="L4" s="121"/>
      <c r="M4" s="121"/>
      <c r="N4" s="121"/>
      <c r="O4" s="121"/>
      <c r="P4" s="121"/>
      <c r="Q4" s="121"/>
      <c r="R4" s="121"/>
      <c r="S4" s="120"/>
      <c r="T4" s="120"/>
      <c r="U4" s="120"/>
      <c r="V4" s="120"/>
      <c r="W4" s="120"/>
      <c r="X4" s="120"/>
    </row>
    <row r="5" spans="1:24" ht="15" customHeight="1">
      <c r="A5" s="120"/>
      <c r="B5" s="120"/>
      <c r="C5" s="120"/>
      <c r="D5" s="120"/>
      <c r="E5" s="120"/>
      <c r="F5" s="120"/>
      <c r="G5" s="121"/>
      <c r="H5" s="121"/>
      <c r="I5" s="121"/>
      <c r="J5" s="121"/>
      <c r="K5" s="121"/>
      <c r="L5" s="121"/>
      <c r="M5" s="121"/>
      <c r="N5" s="121"/>
      <c r="O5" s="121"/>
      <c r="P5" s="121"/>
      <c r="Q5" s="121"/>
      <c r="R5" s="121"/>
      <c r="S5" s="120"/>
      <c r="T5" s="120"/>
      <c r="U5" s="120"/>
      <c r="V5" s="120"/>
      <c r="W5" s="120"/>
      <c r="X5" s="120"/>
    </row>
    <row r="6" spans="1:24" s="124" customFormat="1" ht="24" customHeight="1">
      <c r="A6" s="120"/>
      <c r="B6" s="126"/>
      <c r="C6" s="130" t="s">
        <v>395</v>
      </c>
      <c r="D6" s="127"/>
      <c r="E6" s="126"/>
      <c r="F6" s="127"/>
      <c r="G6" s="127" t="s">
        <v>80</v>
      </c>
      <c r="H6" s="355" t="s">
        <v>469</v>
      </c>
      <c r="I6" s="355"/>
      <c r="J6" s="355"/>
      <c r="K6" s="355"/>
      <c r="L6" s="355"/>
      <c r="M6" s="355"/>
      <c r="N6" s="355"/>
      <c r="O6" s="355"/>
      <c r="P6" s="355"/>
      <c r="Q6" s="355"/>
      <c r="R6" s="355"/>
      <c r="S6" s="355"/>
      <c r="T6" s="355"/>
      <c r="U6" s="355"/>
      <c r="V6" s="355"/>
      <c r="W6" s="355"/>
      <c r="X6" s="126"/>
    </row>
    <row r="7" spans="1:24" s="124" customFormat="1" ht="5.65" customHeight="1">
      <c r="A7" s="120"/>
      <c r="B7" s="126"/>
      <c r="C7" s="126"/>
      <c r="D7" s="127"/>
      <c r="E7" s="126"/>
      <c r="F7" s="127"/>
      <c r="G7" s="127"/>
      <c r="H7" s="127"/>
      <c r="I7" s="127"/>
      <c r="J7" s="127"/>
      <c r="K7" s="127"/>
      <c r="L7" s="127"/>
      <c r="M7" s="127"/>
      <c r="N7" s="127"/>
      <c r="O7" s="127"/>
      <c r="P7" s="127"/>
      <c r="Q7" s="127"/>
      <c r="R7" s="127"/>
      <c r="S7" s="127"/>
      <c r="T7" s="127"/>
      <c r="U7" s="127"/>
      <c r="V7" s="127"/>
      <c r="W7" s="127"/>
      <c r="X7" s="126"/>
    </row>
    <row r="8" spans="1:24" s="124" customFormat="1" ht="24" customHeight="1">
      <c r="A8" s="120"/>
      <c r="B8" s="126"/>
      <c r="C8" s="130" t="s">
        <v>158</v>
      </c>
      <c r="D8" s="127"/>
      <c r="E8" s="126"/>
      <c r="F8" s="127"/>
      <c r="G8" s="127" t="s">
        <v>80</v>
      </c>
      <c r="H8" s="350" t="s">
        <v>42</v>
      </c>
      <c r="I8" s="350"/>
      <c r="J8" s="350"/>
      <c r="K8" s="350"/>
      <c r="L8" s="128"/>
      <c r="M8" s="128"/>
      <c r="N8" s="128"/>
      <c r="O8" s="128"/>
      <c r="P8" s="128"/>
      <c r="Q8" s="128"/>
      <c r="R8" s="128"/>
      <c r="S8" s="128"/>
      <c r="T8" s="126"/>
      <c r="U8" s="126"/>
      <c r="V8" s="126"/>
      <c r="W8" s="126"/>
      <c r="X8" s="126"/>
    </row>
    <row r="9" spans="1:24" s="124" customFormat="1" ht="5.65" customHeight="1">
      <c r="A9" s="120"/>
      <c r="B9" s="126"/>
      <c r="C9" s="126"/>
      <c r="D9" s="127"/>
      <c r="E9" s="126"/>
      <c r="F9" s="127"/>
      <c r="G9" s="127"/>
      <c r="H9" s="127"/>
      <c r="I9" s="127"/>
      <c r="J9" s="127"/>
      <c r="K9" s="127"/>
      <c r="L9" s="127"/>
      <c r="M9" s="127"/>
      <c r="N9" s="127"/>
      <c r="O9" s="127"/>
      <c r="P9" s="127"/>
      <c r="Q9" s="127"/>
      <c r="R9" s="127"/>
      <c r="S9" s="127"/>
      <c r="T9" s="127"/>
      <c r="U9" s="127"/>
      <c r="V9" s="127"/>
      <c r="W9" s="127"/>
      <c r="X9" s="126"/>
    </row>
    <row r="10" spans="1:24" s="124" customFormat="1" ht="24" customHeight="1">
      <c r="A10" s="120"/>
      <c r="B10" s="126"/>
      <c r="C10" s="130" t="s">
        <v>23</v>
      </c>
      <c r="D10" s="127"/>
      <c r="E10" s="126"/>
      <c r="F10" s="127"/>
      <c r="G10" s="127" t="s">
        <v>80</v>
      </c>
      <c r="H10" s="350"/>
      <c r="I10" s="350"/>
      <c r="J10" s="350"/>
      <c r="K10" s="350"/>
      <c r="L10" s="128"/>
      <c r="M10" s="128"/>
      <c r="N10" s="128"/>
      <c r="O10" s="128"/>
      <c r="P10" s="128"/>
      <c r="Q10" s="128"/>
      <c r="R10" s="128"/>
      <c r="S10" s="128"/>
      <c r="T10" s="126"/>
      <c r="U10" s="126"/>
      <c r="V10" s="126"/>
      <c r="W10" s="126"/>
      <c r="X10" s="126"/>
    </row>
    <row r="11" spans="1:24" ht="15" customHeight="1">
      <c r="A11" s="120"/>
      <c r="B11" s="120"/>
      <c r="C11" s="120"/>
      <c r="D11" s="125"/>
      <c r="E11" s="120"/>
      <c r="F11" s="120"/>
      <c r="G11" s="120"/>
      <c r="H11" s="120"/>
      <c r="I11" s="120"/>
      <c r="J11" s="120"/>
      <c r="K11" s="120"/>
      <c r="L11" s="120"/>
      <c r="M11" s="120"/>
      <c r="N11" s="122"/>
      <c r="O11" s="122"/>
      <c r="P11" s="122"/>
      <c r="Q11" s="122"/>
      <c r="R11" s="122"/>
      <c r="S11" s="122"/>
      <c r="T11" s="120"/>
      <c r="U11" s="120"/>
      <c r="V11" s="120"/>
      <c r="W11" s="120"/>
      <c r="X11" s="120"/>
    </row>
    <row r="12" spans="1:24" ht="15" customHeight="1">
      <c r="A12" s="120"/>
      <c r="B12" s="120"/>
      <c r="C12" s="120"/>
      <c r="D12" s="125"/>
      <c r="E12" s="120"/>
      <c r="F12" s="120"/>
      <c r="G12" s="120"/>
      <c r="H12" s="120"/>
      <c r="I12" s="120"/>
      <c r="J12" s="120"/>
      <c r="K12" s="120"/>
      <c r="L12" s="131"/>
      <c r="M12" s="129"/>
      <c r="N12" s="122"/>
      <c r="O12" s="122"/>
      <c r="P12" s="122"/>
      <c r="Q12" s="122"/>
      <c r="R12" s="122"/>
      <c r="S12" s="122"/>
      <c r="T12" s="120"/>
      <c r="U12" s="120"/>
      <c r="V12" s="120"/>
      <c r="W12" s="120"/>
      <c r="X12" s="120"/>
    </row>
    <row r="13" spans="1:24" s="124" customFormat="1" ht="20.25" customHeight="1">
      <c r="A13" s="120"/>
      <c r="B13" s="352" t="s">
        <v>78</v>
      </c>
      <c r="C13" s="352"/>
      <c r="D13" s="352"/>
      <c r="E13" s="352"/>
      <c r="F13" s="352"/>
      <c r="G13" s="352"/>
      <c r="H13" s="352"/>
      <c r="I13" s="352"/>
      <c r="J13" s="352"/>
      <c r="K13" s="352"/>
      <c r="L13" s="131"/>
      <c r="M13" s="129"/>
      <c r="N13" s="352" t="s">
        <v>79</v>
      </c>
      <c r="O13" s="352"/>
      <c r="P13" s="352"/>
      <c r="Q13" s="352"/>
      <c r="R13" s="352"/>
      <c r="S13" s="352"/>
      <c r="T13" s="352"/>
      <c r="U13" s="352"/>
      <c r="V13" s="352"/>
      <c r="W13" s="352"/>
      <c r="X13" s="352"/>
    </row>
    <row r="14" spans="1:24" s="124" customFormat="1" ht="20.25" customHeight="1">
      <c r="A14" s="120"/>
      <c r="B14" s="351" t="s">
        <v>84</v>
      </c>
      <c r="C14" s="351"/>
      <c r="D14" s="351"/>
      <c r="E14" s="351"/>
      <c r="F14" s="351"/>
      <c r="G14" s="351"/>
      <c r="H14" s="351"/>
      <c r="I14" s="351"/>
      <c r="J14" s="351"/>
      <c r="K14" s="351"/>
      <c r="L14" s="132"/>
      <c r="M14" s="226"/>
      <c r="N14" s="351" t="s">
        <v>85</v>
      </c>
      <c r="O14" s="351"/>
      <c r="P14" s="351"/>
      <c r="Q14" s="351"/>
      <c r="R14" s="351"/>
      <c r="S14" s="351"/>
      <c r="T14" s="351"/>
      <c r="U14" s="351"/>
      <c r="V14" s="351"/>
      <c r="W14" s="351"/>
      <c r="X14" s="226"/>
    </row>
    <row r="15" spans="1:24" ht="15" customHeight="1">
      <c r="A15" s="120"/>
      <c r="B15" s="120"/>
      <c r="C15" s="120"/>
      <c r="D15" s="120"/>
      <c r="E15" s="120"/>
      <c r="F15" s="120"/>
      <c r="G15" s="120"/>
      <c r="H15" s="120"/>
      <c r="I15" s="120"/>
      <c r="J15" s="120"/>
      <c r="K15" s="120"/>
      <c r="L15" s="133"/>
      <c r="M15" s="120"/>
      <c r="N15" s="120"/>
      <c r="O15" s="120"/>
      <c r="P15" s="120"/>
      <c r="Q15" s="120"/>
      <c r="R15" s="120"/>
      <c r="S15" s="120"/>
      <c r="T15" s="120"/>
      <c r="U15" s="120"/>
      <c r="V15" s="120"/>
      <c r="W15" s="120"/>
      <c r="X15" s="120"/>
    </row>
    <row r="16" spans="1:24" s="124" customFormat="1" ht="24" customHeight="1">
      <c r="A16" s="120"/>
      <c r="B16" s="130" t="s">
        <v>82</v>
      </c>
      <c r="C16" s="127"/>
      <c r="D16" s="126"/>
      <c r="E16" s="127" t="s">
        <v>80</v>
      </c>
      <c r="F16" s="350" t="s">
        <v>459</v>
      </c>
      <c r="G16" s="350"/>
      <c r="H16" s="350"/>
      <c r="I16" s="350"/>
      <c r="J16" s="350"/>
      <c r="K16" s="350"/>
      <c r="L16" s="133"/>
      <c r="M16" s="128"/>
      <c r="N16" s="130" t="s">
        <v>86</v>
      </c>
      <c r="O16" s="127"/>
      <c r="P16" s="126"/>
      <c r="Q16" s="127" t="s">
        <v>80</v>
      </c>
      <c r="R16" s="350" t="s">
        <v>455</v>
      </c>
      <c r="S16" s="350"/>
      <c r="T16" s="350"/>
      <c r="U16" s="350"/>
      <c r="V16" s="350"/>
      <c r="W16" s="350"/>
      <c r="X16" s="126"/>
    </row>
    <row r="17" spans="1:24" s="124" customFormat="1" ht="5.65" customHeight="1">
      <c r="A17" s="120"/>
      <c r="B17" s="126"/>
      <c r="C17" s="127"/>
      <c r="D17" s="126"/>
      <c r="E17" s="127"/>
      <c r="F17" s="127"/>
      <c r="G17" s="127"/>
      <c r="H17" s="127"/>
      <c r="I17" s="127"/>
      <c r="J17" s="127"/>
      <c r="K17" s="120"/>
      <c r="L17" s="133"/>
      <c r="M17" s="128"/>
      <c r="N17" s="126"/>
      <c r="O17" s="127"/>
      <c r="P17" s="126"/>
      <c r="Q17" s="127"/>
      <c r="R17" s="127"/>
      <c r="S17" s="127"/>
      <c r="T17" s="127"/>
      <c r="U17" s="127"/>
      <c r="V17" s="127"/>
      <c r="W17" s="120"/>
      <c r="X17" s="126"/>
    </row>
    <row r="18" spans="1:24" s="124" customFormat="1" ht="24" customHeight="1">
      <c r="A18" s="120"/>
      <c r="B18" s="130" t="s">
        <v>83</v>
      </c>
      <c r="C18" s="127"/>
      <c r="D18" s="126"/>
      <c r="E18" s="127" t="s">
        <v>80</v>
      </c>
      <c r="F18" s="350" t="s">
        <v>460</v>
      </c>
      <c r="G18" s="350"/>
      <c r="H18" s="350"/>
      <c r="I18" s="350"/>
      <c r="J18" s="120"/>
      <c r="K18" s="120"/>
      <c r="L18" s="133"/>
      <c r="M18" s="128"/>
      <c r="N18" s="130" t="s">
        <v>87</v>
      </c>
      <c r="O18" s="127"/>
      <c r="P18" s="126"/>
      <c r="Q18" s="127" t="s">
        <v>80</v>
      </c>
      <c r="R18" s="350" t="s">
        <v>458</v>
      </c>
      <c r="S18" s="350"/>
      <c r="T18" s="350"/>
      <c r="U18" s="350"/>
      <c r="V18" s="350"/>
      <c r="W18" s="350"/>
      <c r="X18" s="126"/>
    </row>
    <row r="19" spans="1:24" ht="5.25" customHeight="1">
      <c r="A19" s="120"/>
      <c r="B19" s="126"/>
      <c r="C19" s="127"/>
      <c r="D19" s="126"/>
      <c r="E19" s="127"/>
      <c r="F19" s="127"/>
      <c r="G19" s="127"/>
      <c r="H19" s="127"/>
      <c r="I19" s="127"/>
      <c r="J19" s="120"/>
      <c r="K19" s="120"/>
      <c r="L19" s="133"/>
      <c r="M19" s="120"/>
      <c r="N19" s="126"/>
      <c r="O19" s="127"/>
      <c r="P19" s="126"/>
      <c r="Q19" s="127"/>
      <c r="R19" s="127"/>
      <c r="S19" s="127"/>
      <c r="T19" s="127"/>
      <c r="U19" s="127"/>
      <c r="V19" s="127"/>
      <c r="W19" s="120"/>
      <c r="X19" s="120"/>
    </row>
    <row r="20" spans="1:24" ht="24" customHeight="1">
      <c r="A20" s="120"/>
      <c r="B20" s="130" t="s">
        <v>6</v>
      </c>
      <c r="C20" s="127"/>
      <c r="D20" s="126"/>
      <c r="E20" s="127" t="s">
        <v>80</v>
      </c>
      <c r="F20" s="349" t="s">
        <v>461</v>
      </c>
      <c r="G20" s="349"/>
      <c r="H20" s="349"/>
      <c r="I20" s="120"/>
      <c r="J20" s="120"/>
      <c r="K20" s="120"/>
      <c r="L20" s="133"/>
      <c r="M20" s="120"/>
      <c r="N20" s="130" t="s">
        <v>88</v>
      </c>
      <c r="O20" s="127"/>
      <c r="P20" s="126"/>
      <c r="Q20" s="127" t="s">
        <v>80</v>
      </c>
      <c r="R20" s="350"/>
      <c r="S20" s="350"/>
      <c r="T20" s="350"/>
      <c r="U20" s="350"/>
      <c r="V20" s="350"/>
      <c r="W20" s="350"/>
      <c r="X20" s="120"/>
    </row>
    <row r="21" spans="1:24" s="124" customFormat="1" ht="5.65" customHeight="1">
      <c r="A21" s="120"/>
      <c r="B21" s="126"/>
      <c r="C21" s="127"/>
      <c r="D21" s="126"/>
      <c r="E21" s="127"/>
      <c r="F21" s="127"/>
      <c r="G21" s="127"/>
      <c r="H21" s="127"/>
      <c r="I21" s="120"/>
      <c r="J21" s="120"/>
      <c r="K21" s="120"/>
      <c r="L21" s="133"/>
      <c r="M21" s="128"/>
      <c r="N21" s="126"/>
      <c r="O21" s="127"/>
      <c r="P21" s="126"/>
      <c r="Q21" s="127"/>
      <c r="R21" s="127"/>
      <c r="S21" s="127"/>
      <c r="T21" s="127"/>
      <c r="U21" s="127"/>
      <c r="V21" s="127"/>
      <c r="W21" s="120"/>
      <c r="X21" s="126"/>
    </row>
    <row r="22" spans="1:24" s="124" customFormat="1" ht="24" customHeight="1">
      <c r="A22" s="120"/>
      <c r="B22" s="120"/>
      <c r="C22" s="120"/>
      <c r="D22" s="120"/>
      <c r="E22" s="120"/>
      <c r="F22" s="120"/>
      <c r="G22" s="120"/>
      <c r="H22" s="120"/>
      <c r="I22" s="120"/>
      <c r="J22" s="120"/>
      <c r="K22" s="120"/>
      <c r="L22" s="133"/>
      <c r="M22" s="128"/>
      <c r="N22" s="130" t="s">
        <v>83</v>
      </c>
      <c r="O22" s="127"/>
      <c r="P22" s="126"/>
      <c r="Q22" s="127" t="s">
        <v>80</v>
      </c>
      <c r="R22" s="350" t="s">
        <v>468</v>
      </c>
      <c r="S22" s="350"/>
      <c r="T22" s="350"/>
      <c r="U22" s="350"/>
      <c r="V22" s="120"/>
      <c r="W22" s="120"/>
      <c r="X22" s="126"/>
    </row>
    <row r="23" spans="1:24" ht="5.25" customHeight="1">
      <c r="A23" s="120"/>
      <c r="B23" s="120"/>
      <c r="C23" s="120"/>
      <c r="D23" s="120"/>
      <c r="E23" s="120"/>
      <c r="F23" s="120"/>
      <c r="G23" s="120"/>
      <c r="H23" s="120"/>
      <c r="I23" s="120"/>
      <c r="J23" s="120"/>
      <c r="K23" s="120"/>
      <c r="L23" s="133"/>
      <c r="M23" s="120"/>
      <c r="N23" s="126"/>
      <c r="O23" s="127"/>
      <c r="P23" s="126"/>
      <c r="Q23" s="127"/>
      <c r="R23" s="127"/>
      <c r="S23" s="127"/>
      <c r="T23" s="127"/>
      <c r="U23" s="120"/>
      <c r="V23" s="120"/>
      <c r="W23" s="120"/>
      <c r="X23" s="120"/>
    </row>
    <row r="24" spans="1:24" ht="24" customHeight="1">
      <c r="A24" s="120"/>
      <c r="B24" s="120"/>
      <c r="C24" s="120"/>
      <c r="D24" s="120"/>
      <c r="E24" s="120"/>
      <c r="F24" s="120"/>
      <c r="G24" s="120"/>
      <c r="H24" s="120"/>
      <c r="I24" s="120"/>
      <c r="J24" s="120"/>
      <c r="K24" s="120"/>
      <c r="L24" s="133"/>
      <c r="M24" s="120"/>
      <c r="N24" s="130" t="s">
        <v>6</v>
      </c>
      <c r="O24" s="127"/>
      <c r="P24" s="126"/>
      <c r="Q24" s="127" t="s">
        <v>80</v>
      </c>
      <c r="R24" s="349" t="s">
        <v>462</v>
      </c>
      <c r="S24" s="349"/>
      <c r="T24" s="349"/>
      <c r="U24" s="120"/>
      <c r="V24" s="120"/>
      <c r="W24" s="120"/>
      <c r="X24" s="120"/>
    </row>
    <row r="25" spans="1:24" ht="24" customHeight="1">
      <c r="A25" s="120"/>
      <c r="B25" s="136" t="s">
        <v>394</v>
      </c>
      <c r="C25" s="137" t="s">
        <v>437</v>
      </c>
      <c r="D25" s="120"/>
      <c r="E25" s="120"/>
      <c r="F25" s="120"/>
      <c r="G25" s="120"/>
      <c r="H25" s="120"/>
      <c r="I25" s="120"/>
      <c r="J25" s="120"/>
      <c r="K25" s="120"/>
      <c r="L25" s="133"/>
      <c r="M25" s="120"/>
      <c r="N25" s="120"/>
      <c r="O25" s="120"/>
      <c r="P25" s="120"/>
      <c r="Q25" s="120"/>
      <c r="R25" s="120"/>
      <c r="S25" s="120"/>
      <c r="T25" s="120"/>
      <c r="U25" s="120"/>
      <c r="V25" s="120"/>
      <c r="W25" s="120"/>
      <c r="X25" s="120"/>
    </row>
    <row r="26" spans="1:24" ht="14.65" customHeight="1">
      <c r="A26" s="120"/>
      <c r="B26" s="135"/>
      <c r="C26" s="120"/>
      <c r="D26" s="120"/>
      <c r="E26" s="120"/>
      <c r="F26" s="120"/>
      <c r="G26" s="120"/>
      <c r="H26" s="120"/>
      <c r="I26" s="120"/>
      <c r="J26" s="120"/>
      <c r="K26" s="120"/>
      <c r="L26" s="120"/>
      <c r="M26" s="120"/>
      <c r="N26" s="120"/>
      <c r="O26" s="120"/>
      <c r="P26" s="120"/>
      <c r="Q26" s="120"/>
      <c r="R26" s="120"/>
      <c r="S26" s="120"/>
      <c r="T26" s="120"/>
      <c r="U26" s="120"/>
      <c r="V26" s="120"/>
      <c r="W26" s="120"/>
      <c r="X26" s="120"/>
    </row>
    <row r="31" spans="1:24" ht="24" customHeight="1">
      <c r="B31" s="124" t="s">
        <v>41</v>
      </c>
    </row>
    <row r="32" spans="1:24" ht="24" customHeight="1">
      <c r="B32" s="124" t="s">
        <v>42</v>
      </c>
    </row>
    <row r="33" spans="2:2" ht="23.25">
      <c r="B33" s="124" t="s">
        <v>43</v>
      </c>
    </row>
    <row r="34" spans="2:2" ht="23.25">
      <c r="B34" s="124" t="s">
        <v>44</v>
      </c>
    </row>
    <row r="35" spans="2:2" ht="23.25">
      <c r="B35" s="124" t="s">
        <v>45</v>
      </c>
    </row>
  </sheetData>
  <protectedRanges>
    <protectedRange sqref="R24" name="Tanggal Penilaian AL"/>
    <protectedRange sqref="R22" name="Kota Penilaian AL"/>
    <protectedRange sqref="R20" name="Nama Asesor 3"/>
    <protectedRange sqref="R18 R16" name="Nama Asesor 2"/>
    <protectedRange sqref="F20" name="Tanggal Penilaian"/>
    <protectedRange sqref="F18" name="Kota Penilaian"/>
    <protectedRange sqref="F16" name="Nama Asesor"/>
    <protectedRange sqref="H10" name="Kode Panel"/>
    <protectedRange sqref="H8" name="Bentuk PT"/>
    <protectedRange sqref="H6" name="Nama PT"/>
  </protectedRanges>
  <mergeCells count="17">
    <mergeCell ref="B13:K13"/>
    <mergeCell ref="N13:X13"/>
    <mergeCell ref="A2:X2"/>
    <mergeCell ref="A3:X3"/>
    <mergeCell ref="H6:W6"/>
    <mergeCell ref="H8:K8"/>
    <mergeCell ref="H10:K10"/>
    <mergeCell ref="F20:H20"/>
    <mergeCell ref="R20:W20"/>
    <mergeCell ref="R22:U22"/>
    <mergeCell ref="R24:T24"/>
    <mergeCell ref="B14:K14"/>
    <mergeCell ref="N14:W14"/>
    <mergeCell ref="F16:K16"/>
    <mergeCell ref="R16:W16"/>
    <mergeCell ref="F18:I18"/>
    <mergeCell ref="R18:W18"/>
  </mergeCells>
  <dataValidations count="1">
    <dataValidation type="list" showInputMessage="1" showErrorMessage="1" prompt="Pilih bentuk perguruan tinggi" sqref="H8:K8" xr:uid="{00000000-0002-0000-0000-000000000000}">
      <formula1>$B$31:$B$35</formula1>
    </dataValidation>
  </dataValidations>
  <pageMargins left="0.7" right="0.7" top="0.75" bottom="0.75" header="0.3" footer="0.3"/>
  <pageSetup paperSize="5"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390"/>
  <sheetViews>
    <sheetView zoomScaleNormal="100" workbookViewId="0">
      <pane xSplit="5" ySplit="3" topLeftCell="F297" activePane="bottomRight" state="frozen"/>
      <selection pane="topRight" activeCell="F1" sqref="F1"/>
      <selection pane="bottomLeft" activeCell="A4" sqref="A4"/>
      <selection pane="bottomRight" activeCell="E295" sqref="E295"/>
    </sheetView>
  </sheetViews>
  <sheetFormatPr defaultColWidth="9.1328125" defaultRowHeight="14.25"/>
  <cols>
    <col min="1" max="1" width="5.73046875" style="3" customWidth="1"/>
    <col min="2" max="2" width="8.73046875" style="3" customWidth="1"/>
    <col min="3" max="3" width="5.1328125" style="2" customWidth="1"/>
    <col min="4" max="4" width="58.73046875" style="2" customWidth="1"/>
    <col min="5" max="5" width="17.265625" style="2" bestFit="1" customWidth="1"/>
    <col min="6" max="6" width="8.73046875" style="2" bestFit="1" customWidth="1"/>
    <col min="7" max="7" width="78.265625" style="3" customWidth="1"/>
    <col min="8" max="16384" width="9.1328125" style="2"/>
  </cols>
  <sheetData>
    <row r="1" spans="1:7" ht="23.25">
      <c r="A1" s="390" t="s">
        <v>222</v>
      </c>
      <c r="B1" s="390"/>
      <c r="C1" s="390"/>
      <c r="D1" s="390"/>
      <c r="E1" s="390"/>
      <c r="F1" s="390"/>
      <c r="G1" s="390"/>
    </row>
    <row r="2" spans="1:7" ht="18.399999999999999" thickBot="1">
      <c r="A2" s="391" t="s">
        <v>31</v>
      </c>
      <c r="B2" s="392"/>
      <c r="C2" s="392"/>
      <c r="D2" s="392"/>
      <c r="E2" s="392"/>
      <c r="F2" s="392"/>
      <c r="G2" s="392"/>
    </row>
    <row r="3" spans="1:7" ht="36.4" thickBot="1">
      <c r="A3" s="10" t="s">
        <v>18</v>
      </c>
      <c r="B3" s="11" t="s">
        <v>19</v>
      </c>
      <c r="C3" s="395" t="s">
        <v>2</v>
      </c>
      <c r="D3" s="396"/>
      <c r="E3" s="265" t="s">
        <v>441</v>
      </c>
      <c r="G3" s="12" t="s">
        <v>386</v>
      </c>
    </row>
    <row r="4" spans="1:7" ht="45" customHeight="1">
      <c r="A4" s="4">
        <v>1</v>
      </c>
      <c r="B4" s="236">
        <v>1.1000000000000001</v>
      </c>
      <c r="C4" s="375" t="s">
        <v>175</v>
      </c>
      <c r="D4" s="359"/>
      <c r="E4" s="40"/>
      <c r="G4" s="382" t="s">
        <v>470</v>
      </c>
    </row>
    <row r="5" spans="1:7" ht="15" customHeight="1">
      <c r="A5" s="5"/>
      <c r="B5" s="237"/>
      <c r="C5" s="163"/>
      <c r="D5" s="164" t="s">
        <v>225</v>
      </c>
      <c r="E5" s="41">
        <v>3</v>
      </c>
      <c r="F5" s="2" t="str">
        <f>IF(E5&gt;4,"Salah isi","")</f>
        <v/>
      </c>
      <c r="G5" s="383"/>
    </row>
    <row r="6" spans="1:7" ht="15" customHeight="1">
      <c r="A6" s="5"/>
      <c r="B6" s="237"/>
      <c r="C6" s="163"/>
      <c r="D6" s="164" t="s">
        <v>228</v>
      </c>
      <c r="E6" s="41">
        <v>3</v>
      </c>
      <c r="F6" s="2" t="str">
        <f>IF(E6&gt;4,"Salah isi","")</f>
        <v/>
      </c>
      <c r="G6" s="383"/>
    </row>
    <row r="7" spans="1:7" ht="15" customHeight="1">
      <c r="A7" s="5"/>
      <c r="B7" s="237"/>
      <c r="C7" s="163"/>
      <c r="D7" s="164" t="s">
        <v>223</v>
      </c>
      <c r="E7" s="41">
        <v>3</v>
      </c>
      <c r="F7" s="2" t="str">
        <f>IF(E7&gt;4,"Salah isi","")</f>
        <v/>
      </c>
      <c r="G7" s="383"/>
    </row>
    <row r="8" spans="1:7" ht="15" customHeight="1">
      <c r="A8" s="5"/>
      <c r="B8" s="237"/>
      <c r="C8" s="163"/>
      <c r="D8" s="164" t="s">
        <v>224</v>
      </c>
      <c r="E8" s="41">
        <v>3</v>
      </c>
      <c r="F8" s="2" t="str">
        <f>IF(E8&gt;4,"Salah isi","")</f>
        <v/>
      </c>
      <c r="G8" s="383"/>
    </row>
    <row r="9" spans="1:7" ht="15" customHeight="1">
      <c r="A9" s="5"/>
      <c r="B9" s="237"/>
      <c r="C9" s="163"/>
      <c r="D9" s="164" t="s">
        <v>32</v>
      </c>
      <c r="E9" s="42">
        <f>AVERAGE(E5:E8)</f>
        <v>3</v>
      </c>
      <c r="G9" s="383"/>
    </row>
    <row r="10" spans="1:7" ht="15" customHeight="1" thickBot="1">
      <c r="A10" s="43"/>
      <c r="B10" s="238"/>
      <c r="C10" s="381" t="s">
        <v>0</v>
      </c>
      <c r="D10" s="357"/>
      <c r="E10" s="44">
        <f>E9</f>
        <v>3</v>
      </c>
      <c r="G10" s="383"/>
    </row>
    <row r="11" spans="1:7" ht="15" customHeight="1" thickBot="1">
      <c r="A11" s="45"/>
      <c r="B11" s="45"/>
      <c r="C11" s="39"/>
      <c r="D11" s="39"/>
      <c r="G11" s="39"/>
    </row>
    <row r="12" spans="1:7" ht="30" customHeight="1">
      <c r="A12" s="4">
        <v>2</v>
      </c>
      <c r="B12" s="239">
        <v>1.2</v>
      </c>
      <c r="C12" s="375" t="s">
        <v>229</v>
      </c>
      <c r="D12" s="359"/>
      <c r="E12" s="40"/>
      <c r="G12" s="371" t="s">
        <v>471</v>
      </c>
    </row>
    <row r="13" spans="1:7" ht="14.65" customHeight="1">
      <c r="A13" s="5"/>
      <c r="B13" s="240"/>
      <c r="C13" s="163"/>
      <c r="D13" s="164" t="s">
        <v>226</v>
      </c>
      <c r="E13" s="46">
        <v>3</v>
      </c>
      <c r="F13" s="2" t="str">
        <f>IF(E13&gt;4,"Salah isi","")</f>
        <v/>
      </c>
      <c r="G13" s="372"/>
    </row>
    <row r="14" spans="1:7" ht="14.65" customHeight="1">
      <c r="A14" s="5"/>
      <c r="B14" s="240"/>
      <c r="C14" s="163"/>
      <c r="D14" s="164" t="s">
        <v>227</v>
      </c>
      <c r="E14" s="41">
        <v>3</v>
      </c>
      <c r="F14" s="2" t="str">
        <f>IF(E14&gt;4,"Salah isi","")</f>
        <v/>
      </c>
      <c r="G14" s="372"/>
    </row>
    <row r="15" spans="1:7" ht="14.65" customHeight="1">
      <c r="A15" s="5"/>
      <c r="B15" s="240"/>
      <c r="C15" s="163"/>
      <c r="D15" s="164" t="s">
        <v>32</v>
      </c>
      <c r="E15" s="42">
        <v>3</v>
      </c>
      <c r="G15" s="372"/>
    </row>
    <row r="16" spans="1:7" ht="14.65" thickBot="1">
      <c r="A16" s="6"/>
      <c r="B16" s="241"/>
      <c r="C16" s="381" t="s">
        <v>0</v>
      </c>
      <c r="D16" s="357"/>
      <c r="E16" s="44">
        <v>3</v>
      </c>
      <c r="G16" s="372"/>
    </row>
    <row r="17" spans="1:7">
      <c r="C17" s="39"/>
      <c r="D17" s="39"/>
      <c r="E17" s="165"/>
      <c r="G17" s="293"/>
    </row>
    <row r="18" spans="1:7" ht="14.65" thickBot="1">
      <c r="A18" s="235" t="s">
        <v>399</v>
      </c>
      <c r="C18" s="39"/>
      <c r="D18" s="39"/>
      <c r="G18" s="39"/>
    </row>
    <row r="19" spans="1:7" ht="180" customHeight="1">
      <c r="A19" s="149">
        <v>3</v>
      </c>
      <c r="B19" s="253" t="s">
        <v>4</v>
      </c>
      <c r="C19" s="397" t="s">
        <v>314</v>
      </c>
      <c r="D19" s="397"/>
      <c r="E19" s="321" t="s">
        <v>176</v>
      </c>
      <c r="G19" s="379" t="s">
        <v>472</v>
      </c>
    </row>
    <row r="20" spans="1:7" ht="45" customHeight="1">
      <c r="A20" s="5"/>
      <c r="B20" s="240"/>
      <c r="C20" s="163"/>
      <c r="D20" s="164" t="s">
        <v>317</v>
      </c>
      <c r="E20" s="162" t="s">
        <v>176</v>
      </c>
      <c r="G20" s="372"/>
    </row>
    <row r="21" spans="1:7" ht="45" customHeight="1">
      <c r="A21" s="5"/>
      <c r="B21" s="240"/>
      <c r="C21" s="163"/>
      <c r="D21" s="164" t="s">
        <v>318</v>
      </c>
      <c r="E21" s="162" t="s">
        <v>177</v>
      </c>
      <c r="G21" s="372"/>
    </row>
    <row r="22" spans="1:7" ht="14.65" thickBot="1">
      <c r="A22" s="6"/>
      <c r="B22" s="241"/>
      <c r="C22" s="366" t="str">
        <f>IF(E22=4,"SYARAT MUTLAK TERPENUHI","SYARAT MUTLAK TIDAK TERPENUHI")</f>
        <v>SYARAT MUTLAK TERPENUHI</v>
      </c>
      <c r="D22" s="367"/>
      <c r="E22" s="306">
        <f>IF(E19="Ya",4,0)</f>
        <v>4</v>
      </c>
      <c r="G22" s="372"/>
    </row>
    <row r="23" spans="1:7">
      <c r="C23" s="39"/>
      <c r="D23" s="39"/>
      <c r="G23" s="39"/>
    </row>
    <row r="24" spans="1:7" ht="14.65" thickBot="1">
      <c r="A24" s="235" t="s">
        <v>400</v>
      </c>
      <c r="C24" s="39"/>
      <c r="D24" s="39"/>
      <c r="G24" s="39"/>
    </row>
    <row r="25" spans="1:7" ht="221.25" customHeight="1">
      <c r="A25" s="149">
        <v>4</v>
      </c>
      <c r="B25" s="253" t="s">
        <v>5</v>
      </c>
      <c r="C25" s="397" t="s">
        <v>315</v>
      </c>
      <c r="D25" s="397"/>
      <c r="E25" s="47" t="s">
        <v>176</v>
      </c>
      <c r="G25" s="371" t="s">
        <v>473</v>
      </c>
    </row>
    <row r="26" spans="1:7" ht="45" customHeight="1">
      <c r="A26" s="5"/>
      <c r="B26" s="240"/>
      <c r="C26" s="163"/>
      <c r="D26" s="164" t="s">
        <v>319</v>
      </c>
      <c r="E26" s="162" t="s">
        <v>176</v>
      </c>
      <c r="G26" s="372"/>
    </row>
    <row r="27" spans="1:7" ht="45" customHeight="1">
      <c r="A27" s="5"/>
      <c r="B27" s="240"/>
      <c r="C27" s="163"/>
      <c r="D27" s="164" t="s">
        <v>320</v>
      </c>
      <c r="E27" s="162" t="s">
        <v>177</v>
      </c>
      <c r="G27" s="372"/>
    </row>
    <row r="28" spans="1:7" ht="14.65" thickBot="1">
      <c r="A28" s="6"/>
      <c r="B28" s="241"/>
      <c r="C28" s="366" t="str">
        <f>IF(E28=4,"SYARAT MUTLAK TERPENUHI","SYARAT MUTLAK TIDAK TERPENUHI")</f>
        <v>SYARAT MUTLAK TERPENUHI</v>
      </c>
      <c r="D28" s="367"/>
      <c r="E28" s="306">
        <f>IF(E25="Ya",4,0)</f>
        <v>4</v>
      </c>
      <c r="G28" s="372"/>
    </row>
    <row r="29" spans="1:7" ht="14.65" thickBot="1">
      <c r="C29" s="39"/>
      <c r="D29" s="39"/>
      <c r="G29" s="39"/>
    </row>
    <row r="30" spans="1:7" ht="60.75" customHeight="1">
      <c r="A30" s="4">
        <v>5</v>
      </c>
      <c r="B30" s="239" t="s">
        <v>33</v>
      </c>
      <c r="C30" s="397" t="s">
        <v>321</v>
      </c>
      <c r="D30" s="397"/>
      <c r="E30" s="47">
        <v>3</v>
      </c>
      <c r="F30" s="2" t="str">
        <f>IF(E30&gt;4,"Salah isi","")</f>
        <v/>
      </c>
      <c r="G30" s="371" t="s">
        <v>474</v>
      </c>
    </row>
    <row r="31" spans="1:7" ht="28.5">
      <c r="A31" s="5"/>
      <c r="B31" s="240"/>
      <c r="C31" s="48">
        <v>4</v>
      </c>
      <c r="D31" s="49" t="s">
        <v>230</v>
      </c>
      <c r="E31" s="50"/>
      <c r="G31" s="372"/>
    </row>
    <row r="32" spans="1:7" ht="28.5">
      <c r="A32" s="5"/>
      <c r="B32" s="240"/>
      <c r="C32" s="48">
        <v>3</v>
      </c>
      <c r="D32" s="49" t="s">
        <v>231</v>
      </c>
      <c r="E32" s="50"/>
      <c r="G32" s="372"/>
    </row>
    <row r="33" spans="1:7" ht="28.5">
      <c r="A33" s="5"/>
      <c r="B33" s="240"/>
      <c r="C33" s="48">
        <v>2</v>
      </c>
      <c r="D33" s="49" t="s">
        <v>232</v>
      </c>
      <c r="E33" s="50"/>
      <c r="G33" s="372"/>
    </row>
    <row r="34" spans="1:7" ht="28.5">
      <c r="A34" s="5"/>
      <c r="B34" s="240"/>
      <c r="C34" s="48">
        <v>1</v>
      </c>
      <c r="D34" s="49" t="s">
        <v>233</v>
      </c>
      <c r="E34" s="50"/>
      <c r="G34" s="372"/>
    </row>
    <row r="35" spans="1:7">
      <c r="A35" s="5"/>
      <c r="B35" s="240"/>
      <c r="C35" s="48">
        <v>0</v>
      </c>
      <c r="D35" s="49" t="s">
        <v>234</v>
      </c>
      <c r="E35" s="50"/>
      <c r="G35" s="372"/>
    </row>
    <row r="36" spans="1:7" ht="14.65" thickBot="1">
      <c r="A36" s="6"/>
      <c r="B36" s="241"/>
      <c r="C36" s="393" t="s">
        <v>0</v>
      </c>
      <c r="D36" s="393"/>
      <c r="E36" s="44">
        <f>IF(E30&gt;4,"Salah Isi", E30)</f>
        <v>3</v>
      </c>
      <c r="G36" s="372"/>
    </row>
    <row r="37" spans="1:7" ht="14.65" thickBot="1">
      <c r="C37" s="39"/>
      <c r="D37" s="39"/>
      <c r="G37" s="39"/>
    </row>
    <row r="38" spans="1:7" ht="90" customHeight="1">
      <c r="A38" s="4">
        <v>6</v>
      </c>
      <c r="B38" s="239" t="s">
        <v>34</v>
      </c>
      <c r="C38" s="397" t="s">
        <v>322</v>
      </c>
      <c r="D38" s="397"/>
      <c r="E38" s="47">
        <v>3</v>
      </c>
      <c r="F38" s="2" t="str">
        <f>IF(E38&gt;4,"Salah isi","")</f>
        <v/>
      </c>
      <c r="G38" s="371" t="s">
        <v>475</v>
      </c>
    </row>
    <row r="39" spans="1:7" ht="42.75">
      <c r="A39" s="5"/>
      <c r="B39" s="240"/>
      <c r="C39" s="48">
        <v>4</v>
      </c>
      <c r="D39" s="51" t="s">
        <v>323</v>
      </c>
      <c r="E39" s="50"/>
      <c r="G39" s="372"/>
    </row>
    <row r="40" spans="1:7" ht="42.75">
      <c r="A40" s="5"/>
      <c r="B40" s="240"/>
      <c r="C40" s="48">
        <v>3</v>
      </c>
      <c r="D40" s="51" t="s">
        <v>364</v>
      </c>
      <c r="E40" s="50"/>
      <c r="G40" s="372"/>
    </row>
    <row r="41" spans="1:7" ht="42.75">
      <c r="A41" s="5"/>
      <c r="B41" s="240"/>
      <c r="C41" s="48">
        <v>2</v>
      </c>
      <c r="D41" s="51" t="s">
        <v>365</v>
      </c>
      <c r="E41" s="50"/>
      <c r="G41" s="372"/>
    </row>
    <row r="42" spans="1:7">
      <c r="A42" s="5"/>
      <c r="B42" s="240"/>
      <c r="C42" s="48">
        <v>1</v>
      </c>
      <c r="D42" s="52" t="s">
        <v>324</v>
      </c>
      <c r="E42" s="50"/>
      <c r="G42" s="372"/>
    </row>
    <row r="43" spans="1:7">
      <c r="A43" s="5"/>
      <c r="B43" s="240"/>
      <c r="C43" s="48">
        <v>0</v>
      </c>
      <c r="D43" s="52" t="s">
        <v>348</v>
      </c>
      <c r="E43" s="50"/>
      <c r="G43" s="372"/>
    </row>
    <row r="44" spans="1:7" ht="14.65" thickBot="1">
      <c r="A44" s="6"/>
      <c r="B44" s="241"/>
      <c r="C44" s="393" t="s">
        <v>0</v>
      </c>
      <c r="D44" s="393"/>
      <c r="E44" s="44">
        <f>IF(OR(E38&lt;1,E38&gt;4),"Salah Isi",E38)</f>
        <v>3</v>
      </c>
      <c r="G44" s="372"/>
    </row>
    <row r="45" spans="1:7" ht="14.65" thickBot="1">
      <c r="C45" s="39"/>
      <c r="D45" s="39"/>
      <c r="G45" s="39"/>
    </row>
    <row r="46" spans="1:7" ht="75" customHeight="1">
      <c r="A46" s="53">
        <v>7</v>
      </c>
      <c r="B46" s="242" t="s">
        <v>151</v>
      </c>
      <c r="C46" s="394" t="s">
        <v>235</v>
      </c>
      <c r="D46" s="394"/>
      <c r="E46" s="47">
        <v>3</v>
      </c>
      <c r="F46" s="2" t="str">
        <f>IF(E46&gt;4,"Salah isi","")</f>
        <v/>
      </c>
      <c r="G46" s="371" t="s">
        <v>476</v>
      </c>
    </row>
    <row r="47" spans="1:7" ht="75.75" customHeight="1">
      <c r="A47" s="5"/>
      <c r="B47" s="7"/>
      <c r="C47" s="48">
        <v>4</v>
      </c>
      <c r="D47" s="54" t="s">
        <v>236</v>
      </c>
      <c r="E47" s="55"/>
      <c r="F47" s="2" t="str">
        <f>IF(E47&lt;0,"Salah isi",IF(E47&gt;4,"Salah isi",""))</f>
        <v/>
      </c>
      <c r="G47" s="372"/>
    </row>
    <row r="48" spans="1:7" ht="57">
      <c r="A48" s="5"/>
      <c r="B48" s="7"/>
      <c r="C48" s="48">
        <v>3</v>
      </c>
      <c r="D48" s="54" t="s">
        <v>237</v>
      </c>
      <c r="E48" s="55"/>
      <c r="G48" s="372"/>
    </row>
    <row r="49" spans="1:8" ht="57">
      <c r="A49" s="5"/>
      <c r="B49" s="7"/>
      <c r="C49" s="48">
        <v>2</v>
      </c>
      <c r="D49" s="54" t="s">
        <v>238</v>
      </c>
      <c r="E49" s="55"/>
      <c r="F49" s="2" t="str">
        <f>IF(E49&lt;0,"Salah isi",IF(E49&gt;4,"Salah isi",""))</f>
        <v/>
      </c>
      <c r="G49" s="372"/>
    </row>
    <row r="50" spans="1:8" ht="28.5">
      <c r="A50" s="5"/>
      <c r="B50" s="7"/>
      <c r="C50" s="48">
        <v>1</v>
      </c>
      <c r="D50" s="54" t="s">
        <v>239</v>
      </c>
      <c r="E50" s="55"/>
      <c r="G50" s="372"/>
    </row>
    <row r="51" spans="1:8" ht="28.5">
      <c r="A51" s="5"/>
      <c r="B51" s="7"/>
      <c r="C51" s="48">
        <v>0</v>
      </c>
      <c r="D51" s="54" t="s">
        <v>240</v>
      </c>
      <c r="E51" s="55"/>
      <c r="G51" s="372"/>
    </row>
    <row r="52" spans="1:8" ht="14.65" thickBot="1">
      <c r="A52" s="8"/>
      <c r="B52" s="9"/>
      <c r="C52" s="393" t="s">
        <v>0</v>
      </c>
      <c r="D52" s="393"/>
      <c r="E52" s="44">
        <f>IF(E46&gt;4,"Salah Isi",E46)</f>
        <v>3</v>
      </c>
      <c r="G52" s="372"/>
    </row>
    <row r="53" spans="1:8" ht="14.65" thickBot="1">
      <c r="C53" s="56"/>
      <c r="D53" s="56"/>
      <c r="G53" s="39"/>
    </row>
    <row r="54" spans="1:8" ht="30" customHeight="1">
      <c r="A54" s="4">
        <v>8</v>
      </c>
      <c r="B54" s="243" t="s">
        <v>152</v>
      </c>
      <c r="C54" s="397" t="s">
        <v>328</v>
      </c>
      <c r="D54" s="397"/>
      <c r="E54" s="47">
        <v>3</v>
      </c>
      <c r="F54" s="2" t="str">
        <f>IF(E54&gt;4,"Salah isi","")</f>
        <v/>
      </c>
      <c r="G54" s="371" t="s">
        <v>477</v>
      </c>
    </row>
    <row r="55" spans="1:8" ht="28.5">
      <c r="A55" s="5"/>
      <c r="B55" s="7"/>
      <c r="C55" s="57">
        <v>4</v>
      </c>
      <c r="D55" s="49" t="s">
        <v>325</v>
      </c>
      <c r="E55" s="58"/>
      <c r="G55" s="372"/>
    </row>
    <row r="56" spans="1:8" ht="28.5">
      <c r="A56" s="5"/>
      <c r="B56" s="7"/>
      <c r="C56" s="57">
        <v>3</v>
      </c>
      <c r="D56" s="49" t="s">
        <v>326</v>
      </c>
      <c r="E56" s="59"/>
      <c r="G56" s="372"/>
    </row>
    <row r="57" spans="1:8" ht="28.5">
      <c r="A57" s="5"/>
      <c r="B57" s="7"/>
      <c r="C57" s="57">
        <v>2</v>
      </c>
      <c r="D57" s="51" t="s">
        <v>327</v>
      </c>
      <c r="E57" s="55"/>
      <c r="G57" s="372"/>
    </row>
    <row r="58" spans="1:8" ht="28.5">
      <c r="A58" s="5"/>
      <c r="B58" s="7"/>
      <c r="C58" s="57">
        <v>1</v>
      </c>
      <c r="D58" s="51" t="s">
        <v>330</v>
      </c>
      <c r="E58" s="60"/>
      <c r="G58" s="372"/>
    </row>
    <row r="59" spans="1:8" ht="28.5">
      <c r="A59" s="5"/>
      <c r="B59" s="7"/>
      <c r="C59" s="57">
        <v>0</v>
      </c>
      <c r="D59" s="51" t="s">
        <v>329</v>
      </c>
      <c r="E59" s="60"/>
      <c r="G59" s="372"/>
    </row>
    <row r="60" spans="1:8" ht="14.65" thickBot="1">
      <c r="A60" s="6"/>
      <c r="B60" s="9"/>
      <c r="C60" s="393" t="s">
        <v>0</v>
      </c>
      <c r="D60" s="393"/>
      <c r="E60" s="61">
        <f>IF(OR(E54&lt;1,E54&gt;4),"Salah Isi", E54)</f>
        <v>3</v>
      </c>
      <c r="F60" s="62"/>
      <c r="G60" s="372"/>
    </row>
    <row r="61" spans="1:8">
      <c r="C61" s="39"/>
      <c r="D61" s="39"/>
      <c r="E61" s="165"/>
      <c r="F61" s="62"/>
      <c r="G61" s="272"/>
    </row>
    <row r="62" spans="1:8">
      <c r="A62" s="80" t="str">
        <f>"Bentuk Perguruan Tinggi : "&amp;Menu!H8</f>
        <v>Bentuk Perguruan Tinggi : Institut</v>
      </c>
      <c r="C62" s="39"/>
      <c r="D62" s="39"/>
      <c r="E62" s="166">
        <f>IF(Menu!H8="Universitas",1,IF(Menu!H8="Institut",2,IF(Menu!H8="Sekolah Tinggi",3,IF(Menu!H8="Politeknik",4,5))))</f>
        <v>2</v>
      </c>
      <c r="F62" s="62"/>
      <c r="G62" s="272"/>
    </row>
    <row r="63" spans="1:8">
      <c r="A63" s="80"/>
      <c r="C63" s="39"/>
      <c r="D63" s="39"/>
      <c r="E63" s="166"/>
      <c r="F63" s="62"/>
      <c r="G63" s="272"/>
    </row>
    <row r="64" spans="1:8" ht="36" customHeight="1" thickBot="1">
      <c r="A64" s="387" t="s">
        <v>412</v>
      </c>
      <c r="B64" s="387"/>
      <c r="C64" s="387"/>
      <c r="D64" s="387"/>
      <c r="E64" s="387"/>
      <c r="G64" s="39"/>
      <c r="H64" s="3"/>
    </row>
    <row r="65" spans="1:8" ht="32.25" customHeight="1">
      <c r="A65" s="149">
        <v>9</v>
      </c>
      <c r="B65" s="243" t="s">
        <v>153</v>
      </c>
      <c r="C65" s="397" t="s">
        <v>414</v>
      </c>
      <c r="D65" s="397"/>
      <c r="E65" s="89"/>
      <c r="G65" s="371" t="s">
        <v>478</v>
      </c>
    </row>
    <row r="66" spans="1:8" ht="31.5" customHeight="1">
      <c r="A66" s="5"/>
      <c r="B66" s="7"/>
      <c r="C66" s="376" t="s">
        <v>442</v>
      </c>
      <c r="D66" s="363"/>
      <c r="E66" s="233">
        <v>0</v>
      </c>
      <c r="G66" s="372"/>
    </row>
    <row r="67" spans="1:8" ht="31.5" customHeight="1">
      <c r="A67" s="5"/>
      <c r="B67" s="7"/>
      <c r="C67" s="376" t="s">
        <v>419</v>
      </c>
      <c r="D67" s="363"/>
      <c r="E67" s="234">
        <v>4</v>
      </c>
      <c r="G67" s="372"/>
    </row>
    <row r="68" spans="1:8" ht="16.5" customHeight="1">
      <c r="A68" s="5"/>
      <c r="B68" s="7"/>
      <c r="C68" s="376" t="s">
        <v>409</v>
      </c>
      <c r="D68" s="363"/>
      <c r="E68" s="186">
        <f>SUM(E66:E67)</f>
        <v>4</v>
      </c>
      <c r="G68" s="372"/>
    </row>
    <row r="69" spans="1:8" ht="31.15" customHeight="1">
      <c r="A69" s="5"/>
      <c r="B69" s="7"/>
      <c r="C69" s="399" t="s">
        <v>410</v>
      </c>
      <c r="D69" s="400"/>
      <c r="E69" s="227">
        <v>4</v>
      </c>
      <c r="F69" s="2" t="str">
        <f>IF(E69&gt;E67,"Salah isi","")</f>
        <v/>
      </c>
      <c r="G69" s="372"/>
    </row>
    <row r="70" spans="1:8" ht="36" customHeight="1">
      <c r="A70" s="5"/>
      <c r="B70" s="7"/>
      <c r="C70" s="376" t="s">
        <v>424</v>
      </c>
      <c r="D70" s="363"/>
      <c r="E70" s="246">
        <v>4</v>
      </c>
      <c r="G70" s="372"/>
    </row>
    <row r="71" spans="1:8" ht="15" customHeight="1">
      <c r="A71" s="5"/>
      <c r="B71" s="7"/>
      <c r="C71" s="167"/>
      <c r="D71" s="225" t="s">
        <v>366</v>
      </c>
      <c r="E71" s="170">
        <v>5</v>
      </c>
      <c r="G71" s="372"/>
    </row>
    <row r="72" spans="1:8">
      <c r="A72" s="5"/>
      <c r="B72" s="7"/>
      <c r="C72" s="167"/>
      <c r="D72" s="225" t="s">
        <v>367</v>
      </c>
      <c r="E72" s="171">
        <f>IF(AND($E$62=2,$E$70&gt;=6),1,0)</f>
        <v>0</v>
      </c>
      <c r="G72" s="372"/>
    </row>
    <row r="73" spans="1:8">
      <c r="A73" s="5"/>
      <c r="B73" s="7"/>
      <c r="C73" s="167"/>
      <c r="D73" s="225" t="s">
        <v>368</v>
      </c>
      <c r="E73" s="171">
        <f>IF(AND($E$62=3,$E$70&gt;=1),1,0)</f>
        <v>0</v>
      </c>
      <c r="G73" s="372"/>
    </row>
    <row r="74" spans="1:8">
      <c r="A74" s="5"/>
      <c r="B74" s="7"/>
      <c r="C74" s="167"/>
      <c r="D74" s="168" t="s">
        <v>369</v>
      </c>
      <c r="E74" s="303">
        <v>4</v>
      </c>
      <c r="G74" s="372"/>
    </row>
    <row r="75" spans="1:8">
      <c r="A75" s="5"/>
      <c r="B75" s="7"/>
      <c r="C75" s="167"/>
      <c r="D75" s="168" t="s">
        <v>370</v>
      </c>
      <c r="E75" s="172">
        <f>IF(AND($E$62=5,$E$70&gt;=1),1,0)</f>
        <v>0</v>
      </c>
      <c r="G75" s="372"/>
    </row>
    <row r="76" spans="1:8" ht="14.65" thickBot="1">
      <c r="A76" s="6"/>
      <c r="B76" s="9"/>
      <c r="C76" s="366" t="str">
        <f>IF(E76=4,"SYARAT MUTLAK TERPENUHI","SYARAT MUTLAK TIDAK TERPENUHI")</f>
        <v>SYARAT MUTLAK TERPENUHI</v>
      </c>
      <c r="D76" s="367"/>
      <c r="E76" s="305">
        <f>IF(OR(E66&lt;&gt;0,E69&lt;&gt;0),IF(SUM(E71:E75)&gt;0,4,0),0)</f>
        <v>4</v>
      </c>
      <c r="F76" s="62"/>
      <c r="G76" s="372"/>
    </row>
    <row r="77" spans="1:8">
      <c r="C77" s="56"/>
      <c r="D77" s="56"/>
      <c r="G77" s="39"/>
      <c r="H77" s="3"/>
    </row>
    <row r="78" spans="1:8" ht="36" customHeight="1" thickBot="1">
      <c r="A78" s="387" t="s">
        <v>407</v>
      </c>
      <c r="B78" s="387"/>
      <c r="C78" s="387"/>
      <c r="D78" s="387"/>
      <c r="E78" s="387"/>
      <c r="G78" s="39"/>
      <c r="H78" s="3"/>
    </row>
    <row r="79" spans="1:8" ht="32.65" customHeight="1">
      <c r="A79" s="149">
        <v>10</v>
      </c>
      <c r="B79" s="243" t="s">
        <v>154</v>
      </c>
      <c r="C79" s="397" t="s">
        <v>411</v>
      </c>
      <c r="D79" s="397"/>
      <c r="E79" s="266"/>
      <c r="G79" s="398" t="s">
        <v>479</v>
      </c>
    </row>
    <row r="80" spans="1:8" ht="135" customHeight="1">
      <c r="A80" s="5"/>
      <c r="B80" s="7"/>
      <c r="C80" s="376" t="s">
        <v>331</v>
      </c>
      <c r="D80" s="363"/>
      <c r="E80" s="169"/>
      <c r="G80" s="380"/>
    </row>
    <row r="81" spans="1:8" ht="31.5" customHeight="1">
      <c r="A81" s="5"/>
      <c r="B81" s="7"/>
      <c r="C81" s="376" t="s">
        <v>425</v>
      </c>
      <c r="D81" s="363"/>
      <c r="E81" s="231">
        <f>E70</f>
        <v>4</v>
      </c>
      <c r="G81" s="380"/>
    </row>
    <row r="82" spans="1:8" ht="30">
      <c r="A82" s="5"/>
      <c r="B82" s="7"/>
      <c r="C82" s="167"/>
      <c r="D82" s="225" t="s">
        <v>421</v>
      </c>
      <c r="E82" s="79">
        <v>0</v>
      </c>
      <c r="F82" s="2" t="str">
        <f>IF(E82+E83&lt;&gt;0,IF(E82+E83&lt;&gt;E81,"Salah isi",""),"")</f>
        <v/>
      </c>
      <c r="G82" s="380"/>
    </row>
    <row r="83" spans="1:8" ht="30">
      <c r="A83" s="5"/>
      <c r="B83" s="7"/>
      <c r="C83" s="167"/>
      <c r="D83" s="225" t="s">
        <v>422</v>
      </c>
      <c r="E83" s="81">
        <v>4</v>
      </c>
      <c r="F83" s="2" t="str">
        <f>IF(E83+E82&lt;&gt;0,IF(E83+E82&lt;&gt;E81,"Salah isi",""),"")</f>
        <v/>
      </c>
      <c r="G83" s="380"/>
    </row>
    <row r="84" spans="1:8" ht="18.75" customHeight="1" thickBot="1">
      <c r="A84" s="6"/>
      <c r="B84" s="9"/>
      <c r="C84" s="366" t="str">
        <f>IF(E84=4,"SYARAT MUTLAK TERPENUHI","SYARAT MUTLAK TIDAK TERPENUHI")</f>
        <v>SYARAT MUTLAK TERPENUHI</v>
      </c>
      <c r="D84" s="367"/>
      <c r="E84" s="305">
        <f>IF(AND(E82=0,E83=0),0,IF(AND((E82+E83)=E70,E62=1),IF(AND(E82&gt;=6,E83&gt;=4),4,0),4))</f>
        <v>4</v>
      </c>
      <c r="F84" s="62"/>
      <c r="G84" s="380"/>
    </row>
    <row r="85" spans="1:8">
      <c r="C85" s="56"/>
      <c r="D85" s="56"/>
      <c r="G85" s="39"/>
      <c r="H85" s="3"/>
    </row>
    <row r="86" spans="1:8" ht="36" customHeight="1" thickBot="1">
      <c r="A86" s="387" t="s">
        <v>408</v>
      </c>
      <c r="B86" s="387"/>
      <c r="C86" s="387"/>
      <c r="D86" s="387"/>
      <c r="E86" s="387"/>
      <c r="G86" s="39"/>
      <c r="H86" s="3"/>
    </row>
    <row r="87" spans="1:8" ht="32.25" customHeight="1">
      <c r="A87" s="149">
        <v>11</v>
      </c>
      <c r="B87" s="243" t="s">
        <v>155</v>
      </c>
      <c r="C87" s="401" t="s">
        <v>413</v>
      </c>
      <c r="D87" s="401"/>
      <c r="E87" s="266"/>
      <c r="G87" s="371" t="s">
        <v>480</v>
      </c>
    </row>
    <row r="88" spans="1:8" ht="45" customHeight="1">
      <c r="A88" s="5"/>
      <c r="B88" s="7"/>
      <c r="C88" s="376" t="s">
        <v>241</v>
      </c>
      <c r="D88" s="363"/>
      <c r="E88" s="58"/>
      <c r="G88" s="372"/>
    </row>
    <row r="89" spans="1:8" ht="31.5" customHeight="1">
      <c r="A89" s="5"/>
      <c r="B89" s="7"/>
      <c r="C89" s="376" t="s">
        <v>425</v>
      </c>
      <c r="D89" s="363"/>
      <c r="E89" s="231">
        <f>E70</f>
        <v>4</v>
      </c>
      <c r="G89" s="372"/>
    </row>
    <row r="90" spans="1:8" ht="30">
      <c r="A90" s="5"/>
      <c r="B90" s="7"/>
      <c r="C90" s="167"/>
      <c r="D90" s="225" t="s">
        <v>426</v>
      </c>
      <c r="E90" s="79">
        <v>4</v>
      </c>
      <c r="F90" s="2" t="str">
        <f>IF(E90+E91&lt;&gt;0,IF(E90+E91&lt;&gt;E89,"Salah isi",""),"")</f>
        <v/>
      </c>
      <c r="G90" s="372"/>
    </row>
    <row r="91" spans="1:8" ht="30">
      <c r="A91" s="5"/>
      <c r="B91" s="7"/>
      <c r="C91" s="167"/>
      <c r="D91" s="168" t="s">
        <v>427</v>
      </c>
      <c r="E91" s="81">
        <v>0</v>
      </c>
      <c r="F91" s="2" t="str">
        <f>IF(E91+E90&lt;&gt;0,IF(E91+E90&lt;&gt;E89,"Salah isi",""),"")</f>
        <v/>
      </c>
      <c r="G91" s="372"/>
    </row>
    <row r="92" spans="1:8" ht="14.65" thickBot="1">
      <c r="A92" s="6"/>
      <c r="B92" s="9"/>
      <c r="C92" s="366" t="str">
        <f>IF(E92=4,"SYARAT MUTLAK TERPENUHI","SYARAT MUTLAK TIDAK TERPENUHI")</f>
        <v>SYARAT MUTLAK TERPENUHI</v>
      </c>
      <c r="D92" s="367"/>
      <c r="E92" s="305">
        <f>IF(E62&gt;3,4,IF(AND(E90=0,E91=0),0,IF(E91/E90&lt;=10%,4,0)))</f>
        <v>4</v>
      </c>
      <c r="F92" s="62"/>
      <c r="G92" s="372"/>
    </row>
    <row r="93" spans="1:8" ht="14.65" thickBot="1">
      <c r="C93" s="56"/>
      <c r="D93" s="56"/>
      <c r="G93" s="39"/>
      <c r="H93" s="3"/>
    </row>
    <row r="94" spans="1:8" ht="31.15" customHeight="1">
      <c r="A94" s="4">
        <v>12</v>
      </c>
      <c r="B94" s="243" t="s">
        <v>375</v>
      </c>
      <c r="C94" s="397" t="s">
        <v>376</v>
      </c>
      <c r="D94" s="397"/>
      <c r="E94" s="267"/>
      <c r="G94" s="371" t="s">
        <v>481</v>
      </c>
    </row>
    <row r="95" spans="1:8" ht="17.649999999999999" customHeight="1">
      <c r="A95" s="5"/>
      <c r="B95" s="7"/>
      <c r="C95" s="376" t="s">
        <v>443</v>
      </c>
      <c r="D95" s="363"/>
      <c r="E95" s="231">
        <f>E66</f>
        <v>0</v>
      </c>
      <c r="G95" s="372"/>
    </row>
    <row r="96" spans="1:8" ht="15.75">
      <c r="A96" s="5"/>
      <c r="B96" s="7"/>
      <c r="C96" s="167"/>
      <c r="D96" s="225" t="s">
        <v>415</v>
      </c>
      <c r="E96" s="79">
        <v>0</v>
      </c>
      <c r="F96" s="2" t="str">
        <f>IF(SUM(E$96:E$98)&lt;&gt;E$95,"Salah isi","")</f>
        <v/>
      </c>
      <c r="G96" s="372"/>
    </row>
    <row r="97" spans="1:8" ht="15.75">
      <c r="A97" s="5"/>
      <c r="B97" s="7"/>
      <c r="C97" s="167"/>
      <c r="D97" s="225" t="s">
        <v>416</v>
      </c>
      <c r="E97" s="79">
        <v>0</v>
      </c>
      <c r="F97" s="2" t="str">
        <f>IF(SUM(E$96:E$98)&lt;&gt;E$95,"Salah isi","")</f>
        <v/>
      </c>
      <c r="G97" s="372"/>
    </row>
    <row r="98" spans="1:8" ht="15.75">
      <c r="A98" s="5"/>
      <c r="B98" s="7"/>
      <c r="C98" s="167"/>
      <c r="D98" s="225" t="s">
        <v>417</v>
      </c>
      <c r="E98" s="79">
        <v>0</v>
      </c>
      <c r="F98" s="2" t="str">
        <f>IF(SUM(E$96:E$98)&lt;&gt;E$95,"Salah isi","")</f>
        <v/>
      </c>
      <c r="G98" s="372"/>
    </row>
    <row r="99" spans="1:8" ht="30">
      <c r="A99" s="5"/>
      <c r="B99" s="7"/>
      <c r="C99" s="167"/>
      <c r="D99" s="168" t="s">
        <v>418</v>
      </c>
      <c r="E99" s="188">
        <v>4</v>
      </c>
      <c r="G99" s="372"/>
    </row>
    <row r="100" spans="1:8" ht="33.75" customHeight="1">
      <c r="A100" s="5"/>
      <c r="B100" s="7"/>
      <c r="C100" s="183"/>
      <c r="D100" s="168" t="s">
        <v>420</v>
      </c>
      <c r="E100" s="229">
        <f>SUM(E96:E99)</f>
        <v>4</v>
      </c>
      <c r="G100" s="372"/>
    </row>
    <row r="101" spans="1:8" ht="14.65" thickBot="1">
      <c r="A101" s="6"/>
      <c r="B101" s="9"/>
      <c r="C101" s="404"/>
      <c r="D101" s="405"/>
      <c r="E101" s="61">
        <f>IF(E100=0,0,(4*E96+3*E97+2*E98+2*E99)/E100)</f>
        <v>2</v>
      </c>
      <c r="F101" s="62"/>
      <c r="G101" s="372"/>
    </row>
    <row r="102" spans="1:8" ht="14.65" thickBot="1">
      <c r="C102" s="56"/>
      <c r="D102" s="56"/>
      <c r="G102" s="39"/>
      <c r="H102" s="3"/>
    </row>
    <row r="103" spans="1:8" ht="105" customHeight="1">
      <c r="A103" s="4">
        <v>13</v>
      </c>
      <c r="B103" s="243">
        <v>2.5</v>
      </c>
      <c r="C103" s="394" t="s">
        <v>247</v>
      </c>
      <c r="D103" s="394"/>
      <c r="E103" s="47">
        <v>3</v>
      </c>
      <c r="F103" s="2" t="str">
        <f>IF(E103&gt;4,"Salah isi","")</f>
        <v/>
      </c>
      <c r="G103" s="382" t="s">
        <v>482</v>
      </c>
    </row>
    <row r="104" spans="1:8">
      <c r="A104" s="5"/>
      <c r="B104" s="7"/>
      <c r="C104" s="63">
        <v>4</v>
      </c>
      <c r="D104" s="64" t="s">
        <v>242</v>
      </c>
      <c r="E104" s="55"/>
      <c r="G104" s="383"/>
    </row>
    <row r="105" spans="1:8">
      <c r="A105" s="5"/>
      <c r="B105" s="7"/>
      <c r="C105" s="63">
        <v>3</v>
      </c>
      <c r="D105" s="64" t="s">
        <v>245</v>
      </c>
      <c r="E105" s="55"/>
      <c r="G105" s="383"/>
    </row>
    <row r="106" spans="1:8">
      <c r="A106" s="5"/>
      <c r="B106" s="7"/>
      <c r="C106" s="63">
        <v>2</v>
      </c>
      <c r="D106" s="64" t="s">
        <v>243</v>
      </c>
      <c r="E106" s="55"/>
      <c r="G106" s="383"/>
    </row>
    <row r="107" spans="1:8">
      <c r="A107" s="5"/>
      <c r="B107" s="7"/>
      <c r="C107" s="63">
        <v>1</v>
      </c>
      <c r="D107" s="64" t="s">
        <v>246</v>
      </c>
      <c r="E107" s="55"/>
      <c r="G107" s="383"/>
    </row>
    <row r="108" spans="1:8">
      <c r="A108" s="5"/>
      <c r="B108" s="7"/>
      <c r="C108" s="63">
        <v>0</v>
      </c>
      <c r="D108" s="65" t="s">
        <v>244</v>
      </c>
      <c r="E108" s="55"/>
      <c r="G108" s="383"/>
    </row>
    <row r="109" spans="1:8" ht="14.65" thickBot="1">
      <c r="A109" s="6"/>
      <c r="B109" s="9"/>
      <c r="C109" s="393" t="s">
        <v>0</v>
      </c>
      <c r="D109" s="393"/>
      <c r="E109" s="44">
        <f>IF(E103&gt;4,"Salah Isi",E103)</f>
        <v>3</v>
      </c>
      <c r="G109" s="383"/>
    </row>
    <row r="110" spans="1:8" ht="14.65" thickBot="1">
      <c r="C110" s="56"/>
      <c r="D110" s="56"/>
      <c r="G110" s="39"/>
    </row>
    <row r="111" spans="1:8" ht="45" customHeight="1">
      <c r="A111" s="4">
        <v>14</v>
      </c>
      <c r="B111" s="243">
        <v>2.6</v>
      </c>
      <c r="C111" s="358" t="s">
        <v>379</v>
      </c>
      <c r="D111" s="359"/>
      <c r="E111" s="47">
        <v>4</v>
      </c>
      <c r="F111" s="2" t="str">
        <f>IF(E111&gt;4,"Salah isi","")</f>
        <v/>
      </c>
      <c r="G111" s="382" t="s">
        <v>483</v>
      </c>
    </row>
    <row r="112" spans="1:8" ht="28.5">
      <c r="A112" s="5"/>
      <c r="B112" s="7"/>
      <c r="C112" s="66">
        <v>4</v>
      </c>
      <c r="D112" s="49" t="s">
        <v>380</v>
      </c>
      <c r="E112" s="67"/>
      <c r="G112" s="383"/>
    </row>
    <row r="113" spans="1:7" ht="28.5">
      <c r="A113" s="5"/>
      <c r="B113" s="7"/>
      <c r="C113" s="68">
        <v>3</v>
      </c>
      <c r="D113" s="49" t="s">
        <v>381</v>
      </c>
      <c r="E113" s="55"/>
      <c r="G113" s="383"/>
    </row>
    <row r="114" spans="1:7" ht="28.5">
      <c r="A114" s="5"/>
      <c r="B114" s="7"/>
      <c r="C114" s="68">
        <v>2</v>
      </c>
      <c r="D114" s="49" t="s">
        <v>382</v>
      </c>
      <c r="E114" s="55"/>
      <c r="G114" s="383"/>
    </row>
    <row r="115" spans="1:7" ht="28.5">
      <c r="A115" s="5"/>
      <c r="B115" s="7"/>
      <c r="C115" s="68">
        <v>1</v>
      </c>
      <c r="D115" s="49" t="s">
        <v>383</v>
      </c>
      <c r="E115" s="55"/>
      <c r="G115" s="383"/>
    </row>
    <row r="116" spans="1:7">
      <c r="A116" s="5"/>
      <c r="B116" s="7"/>
      <c r="C116" s="68">
        <v>0</v>
      </c>
      <c r="D116" s="69" t="s">
        <v>248</v>
      </c>
      <c r="E116" s="50"/>
      <c r="G116" s="383"/>
    </row>
    <row r="117" spans="1:7" ht="14.65" thickBot="1">
      <c r="A117" s="6"/>
      <c r="B117" s="9"/>
      <c r="C117" s="356" t="s">
        <v>0</v>
      </c>
      <c r="D117" s="357"/>
      <c r="E117" s="44">
        <f>IF(E111&gt;4,"Salah Isi",E111)</f>
        <v>4</v>
      </c>
      <c r="G117" s="383"/>
    </row>
    <row r="118" spans="1:7" ht="14.65" thickBot="1">
      <c r="C118" s="56"/>
      <c r="D118" s="56"/>
      <c r="G118" s="39"/>
    </row>
    <row r="119" spans="1:7" ht="45" customHeight="1">
      <c r="A119" s="4">
        <v>15</v>
      </c>
      <c r="B119" s="243">
        <v>3.1</v>
      </c>
      <c r="C119" s="358" t="s">
        <v>384</v>
      </c>
      <c r="D119" s="359"/>
      <c r="E119" s="47">
        <v>4</v>
      </c>
      <c r="F119" s="2" t="str">
        <f>IF(E119&gt;4,"Salah isi","")</f>
        <v/>
      </c>
      <c r="G119" s="382" t="s">
        <v>484</v>
      </c>
    </row>
    <row r="120" spans="1:7" ht="28.5">
      <c r="A120" s="5"/>
      <c r="B120" s="7"/>
      <c r="C120" s="70">
        <v>4</v>
      </c>
      <c r="D120" s="49" t="s">
        <v>385</v>
      </c>
      <c r="E120" s="67"/>
      <c r="G120" s="383"/>
    </row>
    <row r="121" spans="1:7" ht="28.5">
      <c r="A121" s="5"/>
      <c r="B121" s="7"/>
      <c r="C121" s="71">
        <v>3</v>
      </c>
      <c r="D121" s="49" t="s">
        <v>250</v>
      </c>
      <c r="E121" s="55"/>
      <c r="G121" s="383"/>
    </row>
    <row r="122" spans="1:7" ht="28.5">
      <c r="A122" s="5"/>
      <c r="B122" s="7"/>
      <c r="C122" s="71">
        <v>2</v>
      </c>
      <c r="D122" s="49" t="s">
        <v>251</v>
      </c>
      <c r="E122" s="55"/>
      <c r="G122" s="383"/>
    </row>
    <row r="123" spans="1:7" ht="28.5">
      <c r="A123" s="5"/>
      <c r="B123" s="7"/>
      <c r="C123" s="71">
        <v>1</v>
      </c>
      <c r="D123" s="49" t="s">
        <v>252</v>
      </c>
      <c r="E123" s="55"/>
      <c r="G123" s="383"/>
    </row>
    <row r="124" spans="1:7" ht="28.5">
      <c r="A124" s="5"/>
      <c r="B124" s="7"/>
      <c r="C124" s="70">
        <v>0</v>
      </c>
      <c r="D124" s="49" t="s">
        <v>249</v>
      </c>
      <c r="E124" s="50"/>
      <c r="G124" s="383"/>
    </row>
    <row r="125" spans="1:7" ht="14.65" thickBot="1">
      <c r="A125" s="6"/>
      <c r="B125" s="9"/>
      <c r="C125" s="356" t="s">
        <v>0</v>
      </c>
      <c r="D125" s="357"/>
      <c r="E125" s="44">
        <f>IF(E119&gt;4,"Salah Isi", E119)</f>
        <v>4</v>
      </c>
      <c r="G125" s="383"/>
    </row>
    <row r="126" spans="1:7" ht="14.65" thickBot="1">
      <c r="C126" s="56"/>
      <c r="D126" s="56"/>
      <c r="G126" s="39"/>
    </row>
    <row r="127" spans="1:7" ht="58.15" customHeight="1">
      <c r="A127" s="4">
        <v>16</v>
      </c>
      <c r="B127" s="243">
        <v>3.2</v>
      </c>
      <c r="C127" s="358" t="s">
        <v>254</v>
      </c>
      <c r="D127" s="359"/>
      <c r="E127" s="47">
        <v>4</v>
      </c>
      <c r="F127" s="2" t="str">
        <f>IF(E127&gt;4,"Salah isi","")</f>
        <v/>
      </c>
      <c r="G127" s="382" t="s">
        <v>485</v>
      </c>
    </row>
    <row r="128" spans="1:7" ht="71.25">
      <c r="A128" s="5"/>
      <c r="B128" s="7"/>
      <c r="C128" s="72">
        <v>4</v>
      </c>
      <c r="D128" s="49" t="s">
        <v>255</v>
      </c>
      <c r="E128" s="73"/>
      <c r="G128" s="383"/>
    </row>
    <row r="129" spans="1:8" ht="71.25">
      <c r="A129" s="5"/>
      <c r="B129" s="7"/>
      <c r="C129" s="72">
        <v>3</v>
      </c>
      <c r="D129" s="49" t="s">
        <v>256</v>
      </c>
      <c r="E129" s="74"/>
      <c r="G129" s="383"/>
    </row>
    <row r="130" spans="1:8" ht="57">
      <c r="A130" s="5"/>
      <c r="B130" s="7"/>
      <c r="C130" s="72">
        <v>2</v>
      </c>
      <c r="D130" s="49" t="s">
        <v>257</v>
      </c>
      <c r="E130" s="74"/>
      <c r="G130" s="383"/>
    </row>
    <row r="131" spans="1:8" ht="71.25">
      <c r="A131" s="5"/>
      <c r="B131" s="7"/>
      <c r="C131" s="72">
        <v>1</v>
      </c>
      <c r="D131" s="49" t="s">
        <v>258</v>
      </c>
      <c r="E131" s="74"/>
      <c r="G131" s="383"/>
    </row>
    <row r="132" spans="1:8" ht="57">
      <c r="A132" s="5"/>
      <c r="B132" s="7"/>
      <c r="C132" s="72">
        <v>0</v>
      </c>
      <c r="D132" s="49" t="s">
        <v>253</v>
      </c>
      <c r="E132" s="75"/>
      <c r="G132" s="383"/>
    </row>
    <row r="133" spans="1:8" ht="14.65" thickBot="1">
      <c r="A133" s="6"/>
      <c r="B133" s="9"/>
      <c r="C133" s="356" t="s">
        <v>0</v>
      </c>
      <c r="D133" s="357"/>
      <c r="E133" s="44">
        <f>IF(E127&gt;4,"Salah Isi", E127)</f>
        <v>4</v>
      </c>
      <c r="G133" s="383"/>
    </row>
    <row r="134" spans="1:8" ht="14.65" thickBot="1">
      <c r="C134" s="39"/>
      <c r="D134" s="39"/>
      <c r="E134" s="39"/>
      <c r="G134" s="39"/>
    </row>
    <row r="135" spans="1:8" ht="75" customHeight="1">
      <c r="A135" s="4">
        <v>17</v>
      </c>
      <c r="B135" s="243" t="s">
        <v>35</v>
      </c>
      <c r="C135" s="358" t="s">
        <v>36</v>
      </c>
      <c r="D135" s="359"/>
      <c r="E135" s="47">
        <v>3</v>
      </c>
      <c r="F135" s="2" t="str">
        <f>IF(E135&gt;4,"Salah isi","")</f>
        <v/>
      </c>
      <c r="G135" s="382" t="s">
        <v>486</v>
      </c>
    </row>
    <row r="136" spans="1:8" ht="71.25">
      <c r="A136" s="5"/>
      <c r="B136" s="7"/>
      <c r="C136" s="72">
        <v>4</v>
      </c>
      <c r="D136" s="54" t="s">
        <v>371</v>
      </c>
      <c r="E136" s="58"/>
      <c r="G136" s="383"/>
    </row>
    <row r="137" spans="1:8" ht="71.25">
      <c r="A137" s="5"/>
      <c r="B137" s="7"/>
      <c r="C137" s="72">
        <v>3</v>
      </c>
      <c r="D137" s="49" t="s">
        <v>377</v>
      </c>
      <c r="E137" s="59"/>
      <c r="G137" s="383"/>
    </row>
    <row r="138" spans="1:8" ht="85.5">
      <c r="A138" s="5"/>
      <c r="B138" s="7"/>
      <c r="C138" s="72">
        <v>2</v>
      </c>
      <c r="D138" s="49" t="s">
        <v>372</v>
      </c>
      <c r="E138" s="59"/>
      <c r="G138" s="383"/>
    </row>
    <row r="139" spans="1:8" ht="28.5">
      <c r="A139" s="5"/>
      <c r="B139" s="7"/>
      <c r="C139" s="72">
        <v>1</v>
      </c>
      <c r="D139" s="49" t="s">
        <v>37</v>
      </c>
      <c r="E139" s="59"/>
      <c r="G139" s="383"/>
    </row>
    <row r="140" spans="1:8" ht="28.5">
      <c r="A140" s="5"/>
      <c r="B140" s="7"/>
      <c r="C140" s="72">
        <v>0</v>
      </c>
      <c r="D140" s="54" t="s">
        <v>38</v>
      </c>
      <c r="E140" s="77"/>
      <c r="G140" s="383"/>
    </row>
    <row r="141" spans="1:8" ht="14.65" thickBot="1">
      <c r="A141" s="6"/>
      <c r="B141" s="9"/>
      <c r="C141" s="356" t="s">
        <v>0</v>
      </c>
      <c r="D141" s="357"/>
      <c r="E141" s="44">
        <f>IF(E135&gt;4, "Salah Isi",E135)</f>
        <v>3</v>
      </c>
      <c r="G141" s="383"/>
    </row>
    <row r="142" spans="1:8">
      <c r="C142" s="56"/>
      <c r="D142" s="56"/>
      <c r="G142" s="39"/>
    </row>
    <row r="143" spans="1:8" ht="18" customHeight="1" thickBot="1">
      <c r="A143" s="387" t="s">
        <v>423</v>
      </c>
      <c r="B143" s="387"/>
      <c r="C143" s="387"/>
      <c r="D143" s="387"/>
      <c r="E143" s="387"/>
      <c r="G143" s="39"/>
      <c r="H143" s="3"/>
    </row>
    <row r="144" spans="1:8" ht="32.25" customHeight="1">
      <c r="A144" s="149">
        <v>18</v>
      </c>
      <c r="B144" s="243" t="s">
        <v>156</v>
      </c>
      <c r="C144" s="358" t="s">
        <v>259</v>
      </c>
      <c r="D144" s="359"/>
      <c r="E144" s="268"/>
      <c r="G144" s="402" t="s">
        <v>487</v>
      </c>
    </row>
    <row r="145" spans="1:8" ht="30" customHeight="1">
      <c r="A145" s="5"/>
      <c r="B145" s="7"/>
      <c r="C145" s="248"/>
      <c r="D145" s="249" t="s">
        <v>444</v>
      </c>
      <c r="E145" s="251">
        <v>25</v>
      </c>
      <c r="F145" s="2" t="s">
        <v>104</v>
      </c>
      <c r="G145" s="403"/>
    </row>
    <row r="146" spans="1:8" ht="30" customHeight="1">
      <c r="A146" s="5"/>
      <c r="B146" s="7"/>
      <c r="C146" s="248"/>
      <c r="D146" s="249" t="s">
        <v>430</v>
      </c>
      <c r="E146" s="251">
        <v>25</v>
      </c>
      <c r="F146" s="2" t="s">
        <v>104</v>
      </c>
      <c r="G146" s="403"/>
    </row>
    <row r="147" spans="1:8" ht="30" customHeight="1">
      <c r="A147" s="5"/>
      <c r="B147" s="7"/>
      <c r="C147" s="163"/>
      <c r="D147" s="164" t="s">
        <v>428</v>
      </c>
      <c r="E147" s="250">
        <v>25</v>
      </c>
      <c r="F147" s="2" t="s">
        <v>104</v>
      </c>
      <c r="G147" s="403"/>
    </row>
    <row r="148" spans="1:8" ht="30" customHeight="1">
      <c r="A148" s="5"/>
      <c r="B148" s="7"/>
      <c r="C148" s="163"/>
      <c r="D148" s="164" t="s">
        <v>429</v>
      </c>
      <c r="E148" s="188">
        <v>4</v>
      </c>
      <c r="F148" s="2" t="s">
        <v>190</v>
      </c>
      <c r="G148" s="403"/>
    </row>
    <row r="149" spans="1:8" ht="14.65" customHeight="1">
      <c r="A149" s="5"/>
      <c r="B149" s="7"/>
      <c r="C149" s="163"/>
      <c r="D149" s="164" t="s">
        <v>207</v>
      </c>
      <c r="E149" s="173">
        <f>IF(E148=0,0,E147/E148/6)</f>
        <v>1.0416666666666667</v>
      </c>
      <c r="G149" s="403"/>
    </row>
    <row r="150" spans="1:8" ht="14.65" thickBot="1">
      <c r="A150" s="6"/>
      <c r="B150" s="9"/>
      <c r="C150" s="366" t="str">
        <f>IF(E150=4,"SYARAT MUTLAK TERPENUHI","SYARAT MUTLAK TIDAK TERPENUHI")</f>
        <v>SYARAT MUTLAK TERPENUHI</v>
      </c>
      <c r="D150" s="367"/>
      <c r="E150" s="306">
        <f>IF(E149&gt;=1,4,0)</f>
        <v>4</v>
      </c>
      <c r="G150" s="403"/>
    </row>
    <row r="151" spans="1:8" ht="14.65" thickBot="1">
      <c r="C151" s="39"/>
      <c r="D151" s="39"/>
      <c r="G151" s="39"/>
    </row>
    <row r="152" spans="1:8" ht="30" customHeight="1">
      <c r="A152" s="4">
        <v>19</v>
      </c>
      <c r="B152" s="243" t="s">
        <v>157</v>
      </c>
      <c r="C152" s="358" t="s">
        <v>260</v>
      </c>
      <c r="D152" s="359"/>
      <c r="E152" s="268"/>
      <c r="G152" s="402" t="s">
        <v>488</v>
      </c>
    </row>
    <row r="153" spans="1:8" ht="14.65" thickBot="1">
      <c r="A153" s="6"/>
      <c r="B153" s="9"/>
      <c r="C153" s="356" t="s">
        <v>0</v>
      </c>
      <c r="D153" s="357"/>
      <c r="E153" s="44">
        <v>4</v>
      </c>
      <c r="G153" s="403"/>
    </row>
    <row r="154" spans="1:8">
      <c r="C154" s="39"/>
      <c r="D154" s="39"/>
      <c r="G154" s="39"/>
    </row>
    <row r="155" spans="1:8" ht="18" customHeight="1" thickBot="1">
      <c r="A155" s="387" t="s">
        <v>433</v>
      </c>
      <c r="B155" s="387"/>
      <c r="C155" s="387"/>
      <c r="D155" s="387"/>
      <c r="E155" s="387"/>
      <c r="G155" s="39"/>
      <c r="H155" s="3"/>
    </row>
    <row r="156" spans="1:8" ht="30" customHeight="1">
      <c r="A156" s="4">
        <v>20</v>
      </c>
      <c r="B156" s="243" t="s">
        <v>204</v>
      </c>
      <c r="C156" s="358" t="s">
        <v>332</v>
      </c>
      <c r="D156" s="359"/>
      <c r="E156" s="268"/>
      <c r="G156" s="402" t="s">
        <v>489</v>
      </c>
    </row>
    <row r="157" spans="1:8" ht="30" customHeight="1">
      <c r="A157" s="5"/>
      <c r="B157" s="7"/>
      <c r="C157" s="163"/>
      <c r="D157" s="174" t="s">
        <v>450</v>
      </c>
      <c r="E157" s="188">
        <v>24</v>
      </c>
      <c r="F157" s="2" t="s">
        <v>104</v>
      </c>
      <c r="G157" s="403"/>
    </row>
    <row r="158" spans="1:8" ht="30" customHeight="1">
      <c r="A158" s="5"/>
      <c r="B158" s="7"/>
      <c r="C158" s="163"/>
      <c r="D158" s="174" t="s">
        <v>445</v>
      </c>
      <c r="E158" s="81">
        <v>4</v>
      </c>
      <c r="F158" s="2" t="s">
        <v>104</v>
      </c>
      <c r="G158" s="403"/>
    </row>
    <row r="159" spans="1:8" ht="45" customHeight="1">
      <c r="A159" s="5"/>
      <c r="B159" s="7"/>
      <c r="C159" s="163"/>
      <c r="D159" s="174" t="s">
        <v>431</v>
      </c>
      <c r="E159" s="81">
        <v>4</v>
      </c>
      <c r="F159" s="2" t="s">
        <v>104</v>
      </c>
      <c r="G159" s="403"/>
    </row>
    <row r="160" spans="1:8" ht="45" customHeight="1">
      <c r="A160" s="5"/>
      <c r="B160" s="7"/>
      <c r="C160" s="163"/>
      <c r="D160" s="174" t="s">
        <v>432</v>
      </c>
      <c r="E160" s="250">
        <f>SUM(E158:E159)</f>
        <v>8</v>
      </c>
      <c r="G160" s="403"/>
    </row>
    <row r="161" spans="1:11" ht="16.149999999999999" customHeight="1">
      <c r="A161" s="5"/>
      <c r="B161" s="7"/>
      <c r="C161" s="163"/>
      <c r="D161" s="174" t="s">
        <v>72</v>
      </c>
      <c r="E161" s="78">
        <f>IF(E157=0,0,(E158+E159)/E157)</f>
        <v>0.33333333333333331</v>
      </c>
      <c r="G161" s="403"/>
    </row>
    <row r="162" spans="1:11" ht="14.65" thickBot="1">
      <c r="A162" s="6"/>
      <c r="B162" s="9"/>
      <c r="C162" s="356" t="s">
        <v>0</v>
      </c>
      <c r="D162" s="357"/>
      <c r="E162" s="44">
        <f>IF(E157&gt;=E159,IF(E161&gt;=30%,4,2+20*E161/3),"Salah isi")</f>
        <v>4</v>
      </c>
      <c r="G162" s="403"/>
    </row>
    <row r="163" spans="1:11" ht="14.65" thickBot="1">
      <c r="C163" s="39"/>
      <c r="D163" s="39"/>
      <c r="G163" s="39"/>
    </row>
    <row r="164" spans="1:11" ht="30" customHeight="1">
      <c r="A164" s="4">
        <v>21</v>
      </c>
      <c r="B164" s="243">
        <v>4.3</v>
      </c>
      <c r="C164" s="358" t="s">
        <v>39</v>
      </c>
      <c r="D164" s="359"/>
      <c r="E164" s="47">
        <v>3</v>
      </c>
      <c r="F164" s="2" t="str">
        <f>IF(E164&gt;4,"Salah isi","")</f>
        <v/>
      </c>
      <c r="G164" s="402" t="s">
        <v>490</v>
      </c>
    </row>
    <row r="165" spans="1:11" ht="57">
      <c r="A165" s="5"/>
      <c r="B165" s="7"/>
      <c r="C165" s="71">
        <v>4</v>
      </c>
      <c r="D165" s="49" t="s">
        <v>349</v>
      </c>
      <c r="E165" s="50"/>
      <c r="G165" s="403"/>
    </row>
    <row r="166" spans="1:11" ht="57">
      <c r="A166" s="5"/>
      <c r="B166" s="7"/>
      <c r="C166" s="71">
        <v>3</v>
      </c>
      <c r="D166" s="49" t="s">
        <v>350</v>
      </c>
      <c r="E166" s="50"/>
      <c r="G166" s="403"/>
    </row>
    <row r="167" spans="1:11" ht="42.75">
      <c r="A167" s="5"/>
      <c r="B167" s="7"/>
      <c r="C167" s="71">
        <v>2</v>
      </c>
      <c r="D167" s="49" t="s">
        <v>351</v>
      </c>
      <c r="E167" s="50"/>
      <c r="G167" s="403"/>
    </row>
    <row r="168" spans="1:11" ht="29.25" customHeight="1">
      <c r="A168" s="5"/>
      <c r="B168" s="7"/>
      <c r="C168" s="71">
        <v>1</v>
      </c>
      <c r="D168" s="49" t="s">
        <v>352</v>
      </c>
      <c r="E168" s="50"/>
      <c r="G168" s="403"/>
    </row>
    <row r="169" spans="1:11" ht="15" customHeight="1">
      <c r="A169" s="5"/>
      <c r="B169" s="7"/>
      <c r="C169" s="71">
        <v>0</v>
      </c>
      <c r="D169" s="49" t="s">
        <v>261</v>
      </c>
      <c r="E169" s="50"/>
      <c r="G169" s="403"/>
    </row>
    <row r="170" spans="1:11" ht="14.65" thickBot="1">
      <c r="A170" s="6"/>
      <c r="B170" s="9"/>
      <c r="C170" s="356" t="s">
        <v>0</v>
      </c>
      <c r="D170" s="357"/>
      <c r="E170" s="44">
        <f>IF(E164&gt;4,"Salah Isi", E164)</f>
        <v>3</v>
      </c>
      <c r="G170" s="403"/>
    </row>
    <row r="171" spans="1:11" ht="14.65" thickBot="1">
      <c r="C171" s="56"/>
      <c r="D171" s="56"/>
      <c r="G171" s="39"/>
    </row>
    <row r="172" spans="1:11" ht="28.15" customHeight="1">
      <c r="A172" s="149">
        <v>22</v>
      </c>
      <c r="B172" s="243" t="s">
        <v>159</v>
      </c>
      <c r="C172" s="388" t="s">
        <v>195</v>
      </c>
      <c r="D172" s="389"/>
      <c r="E172" s="40"/>
      <c r="G172" s="406" t="s">
        <v>491</v>
      </c>
      <c r="H172" s="14" t="s">
        <v>41</v>
      </c>
      <c r="I172" s="15"/>
      <c r="J172" s="13"/>
      <c r="K172" s="13"/>
    </row>
    <row r="173" spans="1:11" ht="15.75">
      <c r="A173" s="5"/>
      <c r="B173" s="7"/>
      <c r="C173" s="177"/>
      <c r="D173" s="164" t="s">
        <v>446</v>
      </c>
      <c r="E173" s="79">
        <v>12</v>
      </c>
      <c r="F173" s="80" t="s">
        <v>104</v>
      </c>
      <c r="G173" s="369"/>
      <c r="H173" s="14" t="s">
        <v>43</v>
      </c>
      <c r="I173" s="15"/>
      <c r="J173" s="13"/>
      <c r="K173" s="13"/>
    </row>
    <row r="174" spans="1:11" ht="30">
      <c r="A174" s="5"/>
      <c r="B174" s="7"/>
      <c r="C174" s="178"/>
      <c r="D174" s="164" t="s">
        <v>429</v>
      </c>
      <c r="E174" s="188">
        <v>4</v>
      </c>
      <c r="G174" s="369"/>
      <c r="H174" s="14" t="s">
        <v>44</v>
      </c>
      <c r="I174" s="15"/>
      <c r="J174" s="13"/>
      <c r="K174" s="13"/>
    </row>
    <row r="175" spans="1:11">
      <c r="A175" s="5"/>
      <c r="B175" s="7"/>
      <c r="C175" s="178"/>
      <c r="D175" s="164" t="s">
        <v>180</v>
      </c>
      <c r="E175" s="230">
        <f>IF(E174=0,0,E173/E174)</f>
        <v>3</v>
      </c>
      <c r="G175" s="369"/>
      <c r="H175" s="14" t="s">
        <v>45</v>
      </c>
      <c r="I175" s="15"/>
      <c r="J175" s="13"/>
      <c r="K175" s="13"/>
    </row>
    <row r="176" spans="1:11" ht="14.65" thickBot="1">
      <c r="A176" s="6"/>
      <c r="B176" s="9"/>
      <c r="C176" s="366" t="str">
        <f>IF(E176=4,"SYARAT MUTLAK TERPENUHI","SYARAT MUTLAK TIDAK TERPENUHI")</f>
        <v>SYARAT MUTLAK TERPENUHI</v>
      </c>
      <c r="D176" s="367"/>
      <c r="E176" s="306">
        <f>IF(E174=0,0,IF(E175&gt;=3,4,0))</f>
        <v>4</v>
      </c>
      <c r="G176" s="369"/>
      <c r="H176" s="14"/>
      <c r="I176" s="15"/>
      <c r="J176" s="13"/>
      <c r="K176" s="13"/>
    </row>
    <row r="177" spans="1:11" ht="14.65" thickBot="1">
      <c r="C177" s="56"/>
      <c r="D177" s="56"/>
      <c r="G177" s="39"/>
      <c r="H177" s="14"/>
      <c r="I177" s="15"/>
      <c r="J177" s="13"/>
      <c r="K177" s="13"/>
    </row>
    <row r="178" spans="1:11" ht="30" customHeight="1">
      <c r="A178" s="4">
        <v>23</v>
      </c>
      <c r="B178" s="243" t="s">
        <v>160</v>
      </c>
      <c r="C178" s="388" t="s">
        <v>40</v>
      </c>
      <c r="D178" s="389"/>
      <c r="E178" s="40"/>
      <c r="G178" s="370" t="s">
        <v>492</v>
      </c>
      <c r="H178" s="14" t="s">
        <v>41</v>
      </c>
      <c r="I178" s="15">
        <f>IF($E$181&gt;=36,4,IF(AND($E$181&lt;36,$E$181&gt;24),$E$181/6-2,$E$181/12))</f>
        <v>4</v>
      </c>
      <c r="J178" s="13"/>
      <c r="K178" s="13"/>
    </row>
    <row r="179" spans="1:11" ht="14.65" customHeight="1">
      <c r="A179" s="5"/>
      <c r="B179" s="7"/>
      <c r="C179" s="177"/>
      <c r="D179" s="185" t="s">
        <v>447</v>
      </c>
      <c r="E179" s="79">
        <v>12</v>
      </c>
      <c r="F179" s="80" t="s">
        <v>104</v>
      </c>
      <c r="G179" s="369"/>
      <c r="H179" s="14" t="s">
        <v>42</v>
      </c>
      <c r="I179" s="15">
        <f>IF($E$181&gt;=30,4,IF(AND($E$181&lt;30,$E$181&gt;20),$E$181/5-2,$E$181/10))</f>
        <v>4</v>
      </c>
      <c r="J179" s="13"/>
      <c r="K179" s="13"/>
    </row>
    <row r="180" spans="1:11">
      <c r="A180" s="5"/>
      <c r="B180" s="7"/>
      <c r="C180" s="178"/>
      <c r="D180" s="175" t="s">
        <v>262</v>
      </c>
      <c r="E180" s="81">
        <v>0</v>
      </c>
      <c r="F180" s="2" t="s">
        <v>104</v>
      </c>
      <c r="G180" s="369"/>
      <c r="H180" s="14" t="s">
        <v>43</v>
      </c>
      <c r="I180" s="15">
        <f>IF($E$181&gt;=6,4,2*$E$181/3)</f>
        <v>4</v>
      </c>
      <c r="J180" s="13"/>
      <c r="K180" s="13"/>
    </row>
    <row r="181" spans="1:11" ht="15.75">
      <c r="A181" s="5"/>
      <c r="B181" s="7"/>
      <c r="C181" s="178"/>
      <c r="D181" s="175" t="s">
        <v>434</v>
      </c>
      <c r="E181" s="229">
        <f>4*E179+3*E180</f>
        <v>48</v>
      </c>
      <c r="G181" s="369"/>
      <c r="H181" s="14" t="s">
        <v>44</v>
      </c>
      <c r="I181" s="15">
        <f>IF($E$181&gt;=15,4,IF(AND($E$181&lt;15,$E$181&gt;9),$E$181/3-1,2*$E$181/9))</f>
        <v>4</v>
      </c>
      <c r="J181" s="13"/>
      <c r="K181" s="13"/>
    </row>
    <row r="182" spans="1:11" ht="14.65" thickBot="1">
      <c r="A182" s="6"/>
      <c r="B182" s="9"/>
      <c r="C182" s="356" t="s">
        <v>0</v>
      </c>
      <c r="D182" s="357"/>
      <c r="E182" s="44">
        <f>IF(E62=1,I178,IF(E62=2,I179,IF(E62=3,I180,IF(E62=4,I181,IF(E62=5,I182,"Salah isi")))))</f>
        <v>4</v>
      </c>
      <c r="G182" s="369"/>
      <c r="H182" s="14" t="s">
        <v>45</v>
      </c>
      <c r="I182" s="15">
        <f>IF($E$181&gt;=6,4,2*$E$181/3)</f>
        <v>4</v>
      </c>
      <c r="J182" s="13"/>
      <c r="K182" s="13"/>
    </row>
    <row r="183" spans="1:11" ht="14.65" thickBot="1">
      <c r="C183" s="56"/>
      <c r="D183" s="56"/>
      <c r="G183" s="39"/>
      <c r="H183" s="14"/>
      <c r="I183" s="15"/>
      <c r="J183" s="13"/>
      <c r="K183" s="13"/>
    </row>
    <row r="184" spans="1:11" ht="30" customHeight="1">
      <c r="A184" s="4">
        <v>24</v>
      </c>
      <c r="B184" s="243" t="s">
        <v>161</v>
      </c>
      <c r="C184" s="388" t="s">
        <v>46</v>
      </c>
      <c r="D184" s="389"/>
      <c r="E184" s="40"/>
      <c r="G184" s="370" t="s">
        <v>493</v>
      </c>
      <c r="H184" s="14" t="s">
        <v>41</v>
      </c>
      <c r="I184" s="15">
        <f>IF($E$185&gt;=45,4,IF(AND($E$185&gt;30,$E$185&lt;45),2*$E$185/15-2,$E$185/15))</f>
        <v>0.66666666666666663</v>
      </c>
      <c r="J184" s="13"/>
      <c r="K184" s="13"/>
    </row>
    <row r="185" spans="1:11" ht="14.65" customHeight="1">
      <c r="A185" s="5"/>
      <c r="B185" s="7"/>
      <c r="C185" s="177"/>
      <c r="D185" s="185" t="s">
        <v>448</v>
      </c>
      <c r="E185" s="79">
        <v>10</v>
      </c>
      <c r="F185" s="80" t="s">
        <v>104</v>
      </c>
      <c r="G185" s="369"/>
      <c r="H185" s="14" t="s">
        <v>42</v>
      </c>
      <c r="I185" s="15">
        <f>IF($E$185&gt;=27,4,IF(AND($E$185&gt;18,$E$185&lt;27),2*$E$185/9-2,$E$185/9))</f>
        <v>1.1111111111111112</v>
      </c>
      <c r="J185" s="13"/>
      <c r="K185" s="13"/>
    </row>
    <row r="186" spans="1:11">
      <c r="A186" s="5"/>
      <c r="B186" s="7"/>
      <c r="C186" s="187"/>
      <c r="D186" s="176"/>
      <c r="E186" s="273"/>
      <c r="G186" s="369"/>
      <c r="H186" s="14" t="s">
        <v>43</v>
      </c>
      <c r="I186" s="15">
        <f>IF($E$185&gt;=6,4,2*$E$185/3)</f>
        <v>4</v>
      </c>
      <c r="J186" s="13"/>
      <c r="K186" s="13"/>
    </row>
    <row r="187" spans="1:11">
      <c r="A187" s="5"/>
      <c r="B187" s="7"/>
      <c r="C187" s="187"/>
      <c r="D187" s="176"/>
      <c r="E187" s="273"/>
      <c r="G187" s="369"/>
      <c r="H187" s="14" t="s">
        <v>44</v>
      </c>
      <c r="I187" s="15">
        <f>IF($E$185&gt;=15,4,IF(AND($E$185&gt;9,$E$185&lt;15),$E$185/3-1,2*$E$185/9))</f>
        <v>2.3333333333333335</v>
      </c>
      <c r="J187" s="13"/>
      <c r="K187" s="13"/>
    </row>
    <row r="188" spans="1:11" ht="14.65" thickBot="1">
      <c r="A188" s="6"/>
      <c r="B188" s="9"/>
      <c r="C188" s="356" t="s">
        <v>0</v>
      </c>
      <c r="D188" s="357"/>
      <c r="E188" s="44">
        <f>IF(E62=1,I184,IF(E62=2,I185,IF(E62=3,I186,IF(E62=4,I187,IF(E62=5,I188,"Salah isi")))))</f>
        <v>1.1111111111111112</v>
      </c>
      <c r="G188" s="369"/>
      <c r="H188" s="14" t="s">
        <v>45</v>
      </c>
      <c r="I188" s="15">
        <f>IF($E$185&gt;=6,4,2*$E$185/3)</f>
        <v>4</v>
      </c>
      <c r="J188" s="13"/>
      <c r="K188" s="13"/>
    </row>
    <row r="189" spans="1:11" ht="15" customHeight="1" thickBot="1">
      <c r="C189" s="56"/>
      <c r="D189" s="56"/>
      <c r="G189" s="2"/>
      <c r="J189" s="13"/>
      <c r="K189" s="13"/>
    </row>
    <row r="190" spans="1:11" ht="30" customHeight="1">
      <c r="A190" s="4">
        <v>25</v>
      </c>
      <c r="B190" s="243" t="s">
        <v>162</v>
      </c>
      <c r="C190" s="388" t="s">
        <v>197</v>
      </c>
      <c r="D190" s="389"/>
      <c r="E190" s="40"/>
      <c r="G190" s="370" t="s">
        <v>494</v>
      </c>
      <c r="H190" s="14" t="s">
        <v>41</v>
      </c>
      <c r="I190" s="15">
        <f>IF($E$193&gt;=36,4,IF(AND($E$193&lt;36,$E$193&gt;24),$E$193/6-2,$E$193/12))</f>
        <v>2</v>
      </c>
      <c r="J190" s="13"/>
      <c r="K190" s="13"/>
    </row>
    <row r="191" spans="1:11" ht="14.65" customHeight="1">
      <c r="A191" s="5"/>
      <c r="B191" s="7"/>
      <c r="C191" s="177"/>
      <c r="D191" s="177" t="s">
        <v>449</v>
      </c>
      <c r="E191" s="79">
        <v>6</v>
      </c>
      <c r="F191" s="2" t="s">
        <v>104</v>
      </c>
      <c r="G191" s="369"/>
      <c r="H191" s="14" t="s">
        <v>42</v>
      </c>
      <c r="I191" s="15">
        <f>IF($E$193&gt;=30,4,IF(AND($E$193&lt;303,$E$193&gt;20),$E$193/5-2,$E$193/10))</f>
        <v>2.8</v>
      </c>
      <c r="J191" s="13"/>
      <c r="K191" s="13"/>
    </row>
    <row r="192" spans="1:11">
      <c r="A192" s="5"/>
      <c r="B192" s="7"/>
      <c r="C192" s="178"/>
      <c r="D192" s="178" t="s">
        <v>263</v>
      </c>
      <c r="E192" s="81">
        <v>0</v>
      </c>
      <c r="F192" s="147" t="s">
        <v>104</v>
      </c>
      <c r="G192" s="369"/>
      <c r="H192" s="14" t="s">
        <v>43</v>
      </c>
      <c r="I192" s="15">
        <f>IF($E$193&gt;=6,4,2*$E$193/3)</f>
        <v>4</v>
      </c>
      <c r="J192" s="13"/>
      <c r="K192" s="13"/>
    </row>
    <row r="193" spans="1:11" ht="15.75">
      <c r="A193" s="5"/>
      <c r="B193" s="7"/>
      <c r="C193" s="178"/>
      <c r="D193" s="178" t="s">
        <v>73</v>
      </c>
      <c r="E193" s="229">
        <f>E191*4+E192*3</f>
        <v>24</v>
      </c>
      <c r="F193" s="80"/>
      <c r="G193" s="369"/>
      <c r="H193" s="14" t="s">
        <v>44</v>
      </c>
      <c r="I193" s="15">
        <f>IF($E$193&gt;=15,4,IF(AND($E$193&lt;15,$E$193&gt;9),$E$193/3-1,2*$E$193/9))</f>
        <v>4</v>
      </c>
      <c r="J193" s="13"/>
      <c r="K193" s="13"/>
    </row>
    <row r="194" spans="1:11" ht="15" customHeight="1" thickBot="1">
      <c r="A194" s="6"/>
      <c r="B194" s="9"/>
      <c r="C194" s="356" t="s">
        <v>0</v>
      </c>
      <c r="D194" s="357"/>
      <c r="E194" s="44">
        <f>IF(E62=1,I190,IF(E62=2,I191,IF(E62=3,I192,IF(E62=4,I193,IF(E62=5,I194,"Salah isi")))))</f>
        <v>2.8</v>
      </c>
      <c r="G194" s="369"/>
      <c r="H194" s="14" t="s">
        <v>45</v>
      </c>
      <c r="I194" s="15">
        <f>IF($E$193&gt;=6,4,2*$E$193/3)</f>
        <v>4</v>
      </c>
      <c r="J194" s="13"/>
      <c r="K194" s="13"/>
    </row>
    <row r="195" spans="1:11" ht="14.65" thickBot="1">
      <c r="C195" s="56"/>
      <c r="D195" s="56"/>
      <c r="G195" s="39"/>
      <c r="H195" s="13"/>
      <c r="I195" s="13"/>
      <c r="J195" s="13"/>
    </row>
    <row r="196" spans="1:11" ht="75" customHeight="1">
      <c r="A196" s="4">
        <v>26</v>
      </c>
      <c r="B196" s="243">
        <v>5.0999999999999996</v>
      </c>
      <c r="C196" s="358" t="s">
        <v>337</v>
      </c>
      <c r="D196" s="359"/>
      <c r="E196" s="269">
        <v>2.5</v>
      </c>
      <c r="F196" s="2" t="str">
        <f>IF(E196&gt;4,"Salah isi","")</f>
        <v/>
      </c>
      <c r="G196" s="384" t="s">
        <v>495</v>
      </c>
    </row>
    <row r="197" spans="1:11" ht="42.75">
      <c r="A197" s="5"/>
      <c r="B197" s="7"/>
      <c r="C197" s="71">
        <v>4</v>
      </c>
      <c r="D197" s="54" t="s">
        <v>333</v>
      </c>
      <c r="E197" s="270"/>
      <c r="G197" s="385"/>
    </row>
    <row r="198" spans="1:11" ht="29.65" customHeight="1">
      <c r="A198" s="5"/>
      <c r="B198" s="7"/>
      <c r="C198" s="71">
        <v>3</v>
      </c>
      <c r="D198" s="49" t="s">
        <v>334</v>
      </c>
      <c r="E198" s="83"/>
      <c r="G198" s="385"/>
    </row>
    <row r="199" spans="1:11" ht="30" customHeight="1">
      <c r="A199" s="5"/>
      <c r="B199" s="7"/>
      <c r="C199" s="71">
        <v>2</v>
      </c>
      <c r="D199" s="49" t="s">
        <v>335</v>
      </c>
      <c r="E199" s="83"/>
      <c r="G199" s="385"/>
    </row>
    <row r="200" spans="1:11" ht="30" customHeight="1">
      <c r="A200" s="5"/>
      <c r="B200" s="7"/>
      <c r="C200" s="71">
        <v>1</v>
      </c>
      <c r="D200" s="49" t="s">
        <v>373</v>
      </c>
      <c r="E200" s="83"/>
      <c r="G200" s="385"/>
    </row>
    <row r="201" spans="1:11">
      <c r="A201" s="5"/>
      <c r="B201" s="7"/>
      <c r="C201" s="71">
        <v>0</v>
      </c>
      <c r="D201" s="49" t="s">
        <v>336</v>
      </c>
      <c r="E201" s="84"/>
      <c r="G201" s="385"/>
    </row>
    <row r="202" spans="1:11" ht="15" customHeight="1" thickBot="1">
      <c r="A202" s="6"/>
      <c r="B202" s="9"/>
      <c r="C202" s="356" t="s">
        <v>0</v>
      </c>
      <c r="D202" s="357"/>
      <c r="E202" s="44">
        <f>IF(E196&gt;4,"Salah Isi", E196)</f>
        <v>2.5</v>
      </c>
      <c r="G202" s="385"/>
    </row>
    <row r="203" spans="1:11" ht="14.65" thickBot="1">
      <c r="C203" s="56"/>
      <c r="D203" s="56"/>
      <c r="G203" s="39"/>
    </row>
    <row r="204" spans="1:11" ht="60" customHeight="1">
      <c r="A204" s="4">
        <v>27</v>
      </c>
      <c r="B204" s="243">
        <v>5.2</v>
      </c>
      <c r="C204" s="358" t="s">
        <v>338</v>
      </c>
      <c r="D204" s="359"/>
      <c r="E204" s="47">
        <v>2.5</v>
      </c>
      <c r="F204" s="2" t="str">
        <f>IF(E204&gt;4,"Salah isi","")</f>
        <v/>
      </c>
      <c r="G204" s="382" t="s">
        <v>496</v>
      </c>
    </row>
    <row r="205" spans="1:11" ht="71.25">
      <c r="A205" s="5"/>
      <c r="B205" s="7"/>
      <c r="C205" s="71">
        <v>4</v>
      </c>
      <c r="D205" s="76" t="s">
        <v>353</v>
      </c>
      <c r="E205" s="50"/>
      <c r="G205" s="383"/>
    </row>
    <row r="206" spans="1:11" ht="45" customHeight="1">
      <c r="A206" s="5"/>
      <c r="B206" s="7"/>
      <c r="C206" s="71">
        <v>3</v>
      </c>
      <c r="D206" s="49" t="s">
        <v>354</v>
      </c>
      <c r="E206" s="50"/>
      <c r="G206" s="383"/>
    </row>
    <row r="207" spans="1:11" ht="28.5">
      <c r="A207" s="5"/>
      <c r="B207" s="7"/>
      <c r="C207" s="71">
        <v>2</v>
      </c>
      <c r="D207" s="49" t="s">
        <v>339</v>
      </c>
      <c r="E207" s="50"/>
      <c r="G207" s="383"/>
    </row>
    <row r="208" spans="1:11">
      <c r="A208" s="5"/>
      <c r="B208" s="7"/>
      <c r="C208" s="71">
        <v>1</v>
      </c>
      <c r="D208" s="49" t="s">
        <v>341</v>
      </c>
      <c r="E208" s="50"/>
      <c r="F208" s="80"/>
      <c r="G208" s="383"/>
    </row>
    <row r="209" spans="1:7">
      <c r="A209" s="5"/>
      <c r="B209" s="7"/>
      <c r="C209" s="71">
        <v>0</v>
      </c>
      <c r="D209" s="49" t="s">
        <v>340</v>
      </c>
      <c r="E209" s="50"/>
      <c r="F209" s="80"/>
      <c r="G209" s="383"/>
    </row>
    <row r="210" spans="1:7" ht="15" customHeight="1" thickBot="1">
      <c r="A210" s="6"/>
      <c r="B210" s="9"/>
      <c r="C210" s="356" t="s">
        <v>0</v>
      </c>
      <c r="D210" s="357"/>
      <c r="E210" s="44">
        <f>IF(OR(E204&lt;1,E204&gt;4), "Salah Isi",E204)</f>
        <v>2.5</v>
      </c>
      <c r="G210" s="383"/>
    </row>
    <row r="211" spans="1:7" ht="14.65" thickBot="1">
      <c r="C211" s="39"/>
      <c r="D211" s="39"/>
      <c r="G211" s="39"/>
    </row>
    <row r="212" spans="1:7" ht="44.65" customHeight="1">
      <c r="A212" s="4">
        <v>28</v>
      </c>
      <c r="B212" s="243">
        <v>5.3</v>
      </c>
      <c r="C212" s="358" t="s">
        <v>264</v>
      </c>
      <c r="D212" s="359"/>
      <c r="E212" s="47">
        <v>2.5</v>
      </c>
      <c r="F212" s="2" t="str">
        <f>IF(E212&gt;4,"Salah isi","")</f>
        <v/>
      </c>
      <c r="G212" s="382" t="s">
        <v>497</v>
      </c>
    </row>
    <row r="213" spans="1:7" ht="28.5">
      <c r="A213" s="5"/>
      <c r="B213" s="7"/>
      <c r="C213" s="71">
        <v>4</v>
      </c>
      <c r="D213" s="49" t="s">
        <v>355</v>
      </c>
      <c r="E213" s="50"/>
      <c r="G213" s="383"/>
    </row>
    <row r="214" spans="1:7" ht="28.5">
      <c r="A214" s="5"/>
      <c r="B214" s="7"/>
      <c r="C214" s="71">
        <v>3</v>
      </c>
      <c r="D214" s="49" t="s">
        <v>356</v>
      </c>
      <c r="E214" s="50"/>
      <c r="G214" s="383"/>
    </row>
    <row r="215" spans="1:7" ht="30" customHeight="1">
      <c r="A215" s="5"/>
      <c r="B215" s="7"/>
      <c r="C215" s="71">
        <v>2</v>
      </c>
      <c r="D215" s="49" t="s">
        <v>357</v>
      </c>
      <c r="E215" s="50"/>
      <c r="G215" s="383"/>
    </row>
    <row r="216" spans="1:7">
      <c r="A216" s="5"/>
      <c r="B216" s="7"/>
      <c r="C216" s="71">
        <v>1</v>
      </c>
      <c r="D216" s="49" t="s">
        <v>265</v>
      </c>
      <c r="E216" s="50"/>
      <c r="G216" s="383"/>
    </row>
    <row r="217" spans="1:7">
      <c r="A217" s="5"/>
      <c r="B217" s="7"/>
      <c r="C217" s="71">
        <v>0</v>
      </c>
      <c r="D217" s="49" t="s">
        <v>348</v>
      </c>
      <c r="E217" s="50"/>
      <c r="G217" s="383"/>
    </row>
    <row r="218" spans="1:7" ht="14.65" thickBot="1">
      <c r="A218" s="6"/>
      <c r="B218" s="9"/>
      <c r="C218" s="356" t="s">
        <v>0</v>
      </c>
      <c r="D218" s="357"/>
      <c r="E218" s="44">
        <f>IF(OR(E212&lt;1,E212&gt;4), "Salah Isi",E212)</f>
        <v>2.5</v>
      </c>
      <c r="G218" s="383"/>
    </row>
    <row r="219" spans="1:7" ht="14.65" thickBot="1">
      <c r="B219" s="80"/>
      <c r="C219" s="39"/>
      <c r="D219" s="39"/>
      <c r="G219" s="39"/>
    </row>
    <row r="220" spans="1:7" ht="75" customHeight="1">
      <c r="A220" s="4">
        <v>29</v>
      </c>
      <c r="B220" s="243">
        <v>6.1</v>
      </c>
      <c r="C220" s="358" t="s">
        <v>296</v>
      </c>
      <c r="D220" s="359"/>
      <c r="E220" s="47">
        <v>2</v>
      </c>
      <c r="F220" s="2" t="str">
        <f>IF(E220&gt;4,"Salah isi","")</f>
        <v/>
      </c>
      <c r="G220" s="382" t="s">
        <v>498</v>
      </c>
    </row>
    <row r="221" spans="1:7" ht="42.75">
      <c r="A221" s="5"/>
      <c r="B221" s="7"/>
      <c r="C221" s="72">
        <v>4</v>
      </c>
      <c r="D221" s="49" t="s">
        <v>267</v>
      </c>
      <c r="E221" s="67"/>
      <c r="G221" s="383"/>
    </row>
    <row r="222" spans="1:7" ht="42.75">
      <c r="A222" s="5"/>
      <c r="B222" s="7"/>
      <c r="C222" s="72">
        <v>3</v>
      </c>
      <c r="D222" s="224" t="s">
        <v>268</v>
      </c>
      <c r="E222" s="50"/>
      <c r="G222" s="383"/>
    </row>
    <row r="223" spans="1:7" ht="28.5">
      <c r="A223" s="5"/>
      <c r="B223" s="7"/>
      <c r="C223" s="72">
        <v>2</v>
      </c>
      <c r="D223" s="85" t="s">
        <v>269</v>
      </c>
      <c r="E223" s="50"/>
      <c r="G223" s="383"/>
    </row>
    <row r="224" spans="1:7" ht="28.5">
      <c r="A224" s="5"/>
      <c r="B224" s="7"/>
      <c r="C224" s="72">
        <v>1</v>
      </c>
      <c r="D224" s="49" t="s">
        <v>266</v>
      </c>
      <c r="E224" s="50"/>
      <c r="G224" s="383"/>
    </row>
    <row r="225" spans="1:7">
      <c r="A225" s="5"/>
      <c r="B225" s="244"/>
      <c r="C225" s="68">
        <v>0</v>
      </c>
      <c r="D225" s="69" t="s">
        <v>273</v>
      </c>
      <c r="E225" s="86"/>
      <c r="G225" s="383"/>
    </row>
    <row r="226" spans="1:7" ht="14.65" thickBot="1">
      <c r="A226" s="6"/>
      <c r="B226" s="245"/>
      <c r="C226" s="356" t="s">
        <v>0</v>
      </c>
      <c r="D226" s="357"/>
      <c r="E226" s="44">
        <f>IF(E220&gt;4, "Salah Isi",E220)</f>
        <v>2</v>
      </c>
      <c r="G226" s="383"/>
    </row>
    <row r="227" spans="1:7" ht="14.65" thickBot="1">
      <c r="B227" s="80"/>
      <c r="C227" s="39"/>
      <c r="D227" s="39"/>
      <c r="G227" s="39"/>
    </row>
    <row r="228" spans="1:7" ht="74.25" customHeight="1">
      <c r="A228" s="4">
        <v>30</v>
      </c>
      <c r="B228" s="243">
        <v>7.1</v>
      </c>
      <c r="C228" s="358" t="s">
        <v>297</v>
      </c>
      <c r="D228" s="359"/>
      <c r="E228" s="47">
        <v>2</v>
      </c>
      <c r="F228" s="2" t="str">
        <f>IF(E228&gt;4,"Salah isi","")</f>
        <v/>
      </c>
      <c r="G228" s="384" t="s">
        <v>499</v>
      </c>
    </row>
    <row r="229" spans="1:7" ht="42.75">
      <c r="A229" s="5"/>
      <c r="B229" s="7"/>
      <c r="C229" s="87">
        <v>4</v>
      </c>
      <c r="D229" s="49" t="s">
        <v>271</v>
      </c>
      <c r="E229" s="55"/>
      <c r="G229" s="385"/>
    </row>
    <row r="230" spans="1:7" ht="28.5">
      <c r="A230" s="5"/>
      <c r="B230" s="7"/>
      <c r="C230" s="87">
        <v>3</v>
      </c>
      <c r="D230" s="49" t="s">
        <v>270</v>
      </c>
      <c r="E230" s="55"/>
      <c r="G230" s="385"/>
    </row>
    <row r="231" spans="1:7" ht="28.5">
      <c r="A231" s="5"/>
      <c r="B231" s="7"/>
      <c r="C231" s="87">
        <v>2</v>
      </c>
      <c r="D231" s="49" t="s">
        <v>272</v>
      </c>
      <c r="E231" s="55"/>
      <c r="G231" s="385"/>
    </row>
    <row r="232" spans="1:7" ht="28.5">
      <c r="A232" s="5"/>
      <c r="B232" s="7"/>
      <c r="C232" s="87">
        <v>1</v>
      </c>
      <c r="D232" s="49" t="s">
        <v>274</v>
      </c>
      <c r="E232" s="55"/>
      <c r="G232" s="385"/>
    </row>
    <row r="233" spans="1:7">
      <c r="A233" s="5"/>
      <c r="B233" s="7"/>
      <c r="C233" s="87">
        <v>0</v>
      </c>
      <c r="D233" s="49" t="s">
        <v>275</v>
      </c>
      <c r="E233" s="55"/>
      <c r="G233" s="385"/>
    </row>
    <row r="234" spans="1:7" ht="14.65" thickBot="1">
      <c r="A234" s="6"/>
      <c r="B234" s="9"/>
      <c r="C234" s="356" t="s">
        <v>0</v>
      </c>
      <c r="D234" s="357"/>
      <c r="E234" s="44">
        <f>IF(E228&gt;4, "Salah Isi",E228)</f>
        <v>2</v>
      </c>
      <c r="G234" s="385"/>
    </row>
    <row r="235" spans="1:7">
      <c r="C235" s="39"/>
      <c r="D235" s="39"/>
      <c r="G235" s="39"/>
    </row>
    <row r="236" spans="1:7" ht="14.65" thickBot="1">
      <c r="A236" s="235" t="s">
        <v>398</v>
      </c>
      <c r="C236" s="39"/>
      <c r="D236" s="39"/>
      <c r="G236" s="39"/>
    </row>
    <row r="237" spans="1:7" ht="30" customHeight="1">
      <c r="A237" s="149">
        <v>31</v>
      </c>
      <c r="B237" s="254" t="s">
        <v>163</v>
      </c>
      <c r="C237" s="358" t="s">
        <v>182</v>
      </c>
      <c r="D237" s="359"/>
      <c r="E237" s="271"/>
      <c r="G237" s="379" t="s">
        <v>500</v>
      </c>
    </row>
    <row r="238" spans="1:7" ht="30" customHeight="1">
      <c r="A238" s="5"/>
      <c r="B238" s="7"/>
      <c r="C238" s="376" t="s">
        <v>181</v>
      </c>
      <c r="D238" s="363"/>
      <c r="E238" s="77"/>
      <c r="G238" s="372"/>
    </row>
    <row r="239" spans="1:7" ht="16.5" customHeight="1">
      <c r="A239" s="5"/>
      <c r="B239" s="7"/>
      <c r="C239" s="179"/>
      <c r="D239" s="179" t="s">
        <v>47</v>
      </c>
      <c r="E239" s="294">
        <v>22142</v>
      </c>
      <c r="F239" s="2" t="s">
        <v>105</v>
      </c>
      <c r="G239" s="372"/>
    </row>
    <row r="240" spans="1:7" ht="15.75">
      <c r="A240" s="5"/>
      <c r="B240" s="7"/>
      <c r="C240" s="180"/>
      <c r="D240" s="180" t="s">
        <v>74</v>
      </c>
      <c r="E240" s="42">
        <f>IF(E62=1,E239/10000,IF(E62=2,E239/8000,E239/5000))</f>
        <v>2.7677499999999999</v>
      </c>
      <c r="F240" s="80"/>
      <c r="G240" s="372"/>
    </row>
    <row r="241" spans="1:7" ht="15" customHeight="1" thickBot="1">
      <c r="A241" s="6"/>
      <c r="B241" s="9"/>
      <c r="C241" s="366" t="str">
        <f>IF(E241=4,"SYARAT MUTLAK TERPENUHI","SYARAT MUTLAK TIDAK TERPENUHI")</f>
        <v>SYARAT MUTLAK TERPENUHI</v>
      </c>
      <c r="D241" s="367"/>
      <c r="E241" s="306">
        <f>IF(E240&gt;=1,4,0)</f>
        <v>4</v>
      </c>
      <c r="F241" s="80"/>
      <c r="G241" s="372"/>
    </row>
    <row r="242" spans="1:7">
      <c r="C242" s="39"/>
      <c r="D242" s="39"/>
      <c r="F242" s="80"/>
      <c r="G242" s="318"/>
    </row>
    <row r="243" spans="1:7" ht="14.65" thickBot="1">
      <c r="A243" s="235" t="s">
        <v>397</v>
      </c>
      <c r="C243" s="39"/>
      <c r="D243" s="39"/>
      <c r="G243" s="318"/>
    </row>
    <row r="244" spans="1:7" ht="30" customHeight="1">
      <c r="A244" s="4">
        <v>32</v>
      </c>
      <c r="B244" s="254" t="s">
        <v>164</v>
      </c>
      <c r="C244" s="358" t="s">
        <v>187</v>
      </c>
      <c r="D244" s="359"/>
      <c r="E244" s="271"/>
      <c r="G244" s="386" t="s">
        <v>501</v>
      </c>
    </row>
    <row r="245" spans="1:7" ht="14.65" thickBot="1">
      <c r="A245" s="6"/>
      <c r="B245" s="9"/>
      <c r="C245" s="356" t="s">
        <v>0</v>
      </c>
      <c r="D245" s="357"/>
      <c r="E245" s="44">
        <f>IF(E240&gt;=4,4,(4+2*E240)/3)</f>
        <v>3.1784999999999997</v>
      </c>
      <c r="F245" s="80"/>
      <c r="G245" s="365"/>
    </row>
    <row r="246" spans="1:7">
      <c r="C246" s="39"/>
      <c r="D246" s="39"/>
      <c r="F246" s="80"/>
      <c r="G246" s="39"/>
    </row>
    <row r="247" spans="1:7" ht="14.65" thickBot="1">
      <c r="A247" s="235" t="s">
        <v>396</v>
      </c>
      <c r="C247" s="39"/>
      <c r="D247" s="39"/>
      <c r="G247" s="39"/>
    </row>
    <row r="248" spans="1:7" ht="30" customHeight="1">
      <c r="A248" s="149">
        <v>33</v>
      </c>
      <c r="B248" s="254" t="s">
        <v>165</v>
      </c>
      <c r="C248" s="358" t="s">
        <v>166</v>
      </c>
      <c r="D248" s="359"/>
      <c r="E248" s="47" t="s">
        <v>176</v>
      </c>
      <c r="F248" s="47" t="s">
        <v>176</v>
      </c>
      <c r="G248" s="386" t="s">
        <v>502</v>
      </c>
    </row>
    <row r="249" spans="1:7" ht="176.65" customHeight="1">
      <c r="A249" s="5"/>
      <c r="B249" s="7"/>
      <c r="C249" s="373" t="s">
        <v>316</v>
      </c>
      <c r="D249" s="374"/>
      <c r="E249" s="162" t="s">
        <v>176</v>
      </c>
      <c r="G249" s="365"/>
    </row>
    <row r="250" spans="1:7" ht="15">
      <c r="A250" s="5"/>
      <c r="B250" s="7"/>
      <c r="C250" s="181"/>
      <c r="D250" s="182" t="s">
        <v>278</v>
      </c>
      <c r="E250" s="162" t="s">
        <v>177</v>
      </c>
      <c r="G250" s="365"/>
    </row>
    <row r="251" spans="1:7">
      <c r="A251" s="5"/>
      <c r="B251" s="7"/>
      <c r="C251" s="163"/>
      <c r="D251" s="164" t="s">
        <v>279</v>
      </c>
      <c r="E251" s="162" t="s">
        <v>177</v>
      </c>
      <c r="F251" s="80"/>
      <c r="G251" s="365"/>
    </row>
    <row r="252" spans="1:7" ht="14.65" thickBot="1">
      <c r="A252" s="6"/>
      <c r="B252" s="9"/>
      <c r="C252" s="366" t="str">
        <f>IF(E252=4,"SYARAT MUTLAK TERPENUHI","SYARAT MUTLAK TIDAK TERPENUHI")</f>
        <v>SYARAT MUTLAK TERPENUHI</v>
      </c>
      <c r="D252" s="367"/>
      <c r="E252" s="306">
        <f>IF(E248="Ya",4,0)</f>
        <v>4</v>
      </c>
      <c r="F252" s="80"/>
      <c r="G252" s="365"/>
    </row>
    <row r="253" spans="1:7" ht="14.65" thickBot="1">
      <c r="C253" s="39"/>
      <c r="D253" s="39"/>
      <c r="F253" s="80"/>
      <c r="G253" s="39"/>
    </row>
    <row r="254" spans="1:7" ht="30" customHeight="1">
      <c r="A254" s="149">
        <v>34</v>
      </c>
      <c r="B254" s="243" t="s">
        <v>48</v>
      </c>
      <c r="C254" s="358" t="s">
        <v>184</v>
      </c>
      <c r="D254" s="359"/>
      <c r="E254" s="271"/>
      <c r="G254" s="371" t="s">
        <v>503</v>
      </c>
    </row>
    <row r="255" spans="1:7" ht="30" customHeight="1">
      <c r="A255" s="5"/>
      <c r="B255" s="7"/>
      <c r="C255" s="376" t="s">
        <v>281</v>
      </c>
      <c r="D255" s="363"/>
      <c r="E255" s="77"/>
      <c r="G255" s="372"/>
    </row>
    <row r="256" spans="1:7" ht="16.5" customHeight="1">
      <c r="A256" s="5"/>
      <c r="B256" s="7"/>
      <c r="C256" s="179"/>
      <c r="D256" s="185" t="s">
        <v>280</v>
      </c>
      <c r="E256" s="79">
        <v>600</v>
      </c>
      <c r="F256" s="2" t="s">
        <v>105</v>
      </c>
      <c r="G256" s="372"/>
    </row>
    <row r="257" spans="1:7" ht="15.75">
      <c r="A257" s="5"/>
      <c r="B257" s="7"/>
      <c r="C257" s="180"/>
      <c r="D257" s="175" t="s">
        <v>74</v>
      </c>
      <c r="E257" s="42">
        <f>IF(E62=1,E256/1000,IF(E62=2,E256/600,IF(E62=3,E256/200,IF(E62=4,E256/300,E256/100))))</f>
        <v>1</v>
      </c>
      <c r="F257" s="80"/>
      <c r="G257" s="372"/>
    </row>
    <row r="258" spans="1:7" ht="14.65" thickBot="1">
      <c r="A258" s="6"/>
      <c r="B258" s="9"/>
      <c r="C258" s="366" t="str">
        <f>IF(E258=4,"SYARAT MUTLAK TERPENUHI","SYARAT MUTLAK TIDAK TERPENUHI")</f>
        <v>SYARAT MUTLAK TERPENUHI</v>
      </c>
      <c r="D258" s="367"/>
      <c r="E258" s="306">
        <f>IF(E257&gt;=1,4,0)</f>
        <v>4</v>
      </c>
      <c r="G258" s="372"/>
    </row>
    <row r="259" spans="1:7" ht="14.65" thickBot="1">
      <c r="C259" s="39"/>
      <c r="D259" s="39"/>
      <c r="G259" s="39"/>
    </row>
    <row r="260" spans="1:7" ht="30" customHeight="1">
      <c r="A260" s="149">
        <v>35</v>
      </c>
      <c r="B260" s="243" t="s">
        <v>49</v>
      </c>
      <c r="C260" s="358" t="s">
        <v>185</v>
      </c>
      <c r="D260" s="359"/>
      <c r="E260" s="271"/>
      <c r="G260" s="371" t="s">
        <v>504</v>
      </c>
    </row>
    <row r="261" spans="1:7" ht="45" customHeight="1">
      <c r="A261" s="5"/>
      <c r="B261" s="7"/>
      <c r="C261" s="362" t="s">
        <v>282</v>
      </c>
      <c r="D261" s="363"/>
      <c r="E261" s="77"/>
      <c r="G261" s="372"/>
    </row>
    <row r="262" spans="1:7" ht="16.5" customHeight="1">
      <c r="A262" s="5"/>
      <c r="B262" s="7"/>
      <c r="C262" s="179"/>
      <c r="D262" s="177" t="s">
        <v>283</v>
      </c>
      <c r="E262" s="79">
        <v>180</v>
      </c>
      <c r="F262" s="2" t="s">
        <v>105</v>
      </c>
      <c r="G262" s="372"/>
    </row>
    <row r="263" spans="1:7" ht="15.75">
      <c r="A263" s="5"/>
      <c r="B263" s="7"/>
      <c r="C263" s="180"/>
      <c r="D263" s="178" t="s">
        <v>74</v>
      </c>
      <c r="E263" s="42">
        <f>IF(E62=1,E262/300,IF(E62=2,E262/180,IF(E62=3,E262/60,IF(E62=4,E262/90,E262/30))))</f>
        <v>1</v>
      </c>
      <c r="F263" s="80"/>
      <c r="G263" s="372"/>
    </row>
    <row r="264" spans="1:7" ht="14.65" thickBot="1">
      <c r="A264" s="6"/>
      <c r="B264" s="9"/>
      <c r="C264" s="366" t="str">
        <f>IF(E264=4,"SYARAT MUTLAK TERPENUHI","SYARAT MUTLAK TIDAK TERPENUHI")</f>
        <v>SYARAT MUTLAK TERPENUHI</v>
      </c>
      <c r="D264" s="367"/>
      <c r="E264" s="306">
        <f>IF(E263&gt;=1,4,0)</f>
        <v>4</v>
      </c>
      <c r="G264" s="372"/>
    </row>
    <row r="265" spans="1:7" ht="14.65" thickBot="1">
      <c r="C265" s="39"/>
      <c r="D265" s="39"/>
      <c r="G265" s="39"/>
    </row>
    <row r="266" spans="1:7" ht="30" customHeight="1">
      <c r="A266" s="149">
        <v>36</v>
      </c>
      <c r="B266" s="243" t="s">
        <v>50</v>
      </c>
      <c r="C266" s="358" t="s">
        <v>284</v>
      </c>
      <c r="D266" s="359"/>
      <c r="E266" s="271"/>
      <c r="G266" s="379" t="s">
        <v>505</v>
      </c>
    </row>
    <row r="267" spans="1:7" ht="45" customHeight="1">
      <c r="A267" s="5"/>
      <c r="B267" s="7"/>
      <c r="C267" s="362" t="s">
        <v>285</v>
      </c>
      <c r="D267" s="363"/>
      <c r="E267" s="77"/>
      <c r="G267" s="380"/>
    </row>
    <row r="268" spans="1:7" ht="16.5" customHeight="1">
      <c r="A268" s="5"/>
      <c r="B268" s="7"/>
      <c r="C268" s="179"/>
      <c r="D268" s="177" t="s">
        <v>51</v>
      </c>
      <c r="E268" s="79">
        <v>72</v>
      </c>
      <c r="F268" s="2" t="s">
        <v>105</v>
      </c>
      <c r="G268" s="380"/>
    </row>
    <row r="269" spans="1:7" ht="15.75">
      <c r="A269" s="5"/>
      <c r="B269" s="7"/>
      <c r="C269" s="180"/>
      <c r="D269" s="178" t="s">
        <v>74</v>
      </c>
      <c r="E269" s="42">
        <f>IF(E62=1,E268/80,IF(E62=2,E268/60,IF(E62=3,E268/30,IF(E62=4,E268/40,E268/30))))</f>
        <v>1.2</v>
      </c>
      <c r="F269" s="80"/>
      <c r="G269" s="380"/>
    </row>
    <row r="270" spans="1:7" ht="14.65" thickBot="1">
      <c r="A270" s="6"/>
      <c r="B270" s="9"/>
      <c r="C270" s="366" t="str">
        <f>IF(E270=4,"SYARAT MUTLAK TERPENUHI","SYARAT MUTLAK TIDAK TERPENUHI")</f>
        <v>SYARAT MUTLAK TERPENUHI</v>
      </c>
      <c r="D270" s="367"/>
      <c r="E270" s="306">
        <f>IF(E269&gt;=1,4,0)</f>
        <v>4</v>
      </c>
      <c r="G270" s="380"/>
    </row>
    <row r="271" spans="1:7" ht="14.65" thickBot="1">
      <c r="C271" s="39"/>
      <c r="D271" s="39"/>
      <c r="G271" s="39"/>
    </row>
    <row r="272" spans="1:7" ht="30" customHeight="1">
      <c r="A272" s="149">
        <v>37</v>
      </c>
      <c r="B272" s="243" t="s">
        <v>52</v>
      </c>
      <c r="C272" s="375" t="s">
        <v>286</v>
      </c>
      <c r="D272" s="359"/>
      <c r="E272" s="271"/>
      <c r="G272" s="386" t="s">
        <v>506</v>
      </c>
    </row>
    <row r="273" spans="1:7" ht="45" customHeight="1">
      <c r="A273" s="5"/>
      <c r="B273" s="7"/>
      <c r="C273" s="376" t="s">
        <v>277</v>
      </c>
      <c r="D273" s="363"/>
      <c r="E273" s="77"/>
      <c r="G273" s="365"/>
    </row>
    <row r="274" spans="1:7">
      <c r="A274" s="5"/>
      <c r="B274" s="7"/>
      <c r="C274" s="179"/>
      <c r="D274" s="177" t="s">
        <v>276</v>
      </c>
      <c r="E274" s="294">
        <v>450</v>
      </c>
      <c r="G274" s="365"/>
    </row>
    <row r="275" spans="1:7" ht="15.75">
      <c r="A275" s="5"/>
      <c r="B275" s="7"/>
      <c r="C275" s="180"/>
      <c r="D275" s="178" t="s">
        <v>74</v>
      </c>
      <c r="E275" s="42">
        <f>IF(E62=1,E274/600,IF(E62=2,E274/450,IF(E62=3,E274/300,IF(E62=4,E274/300,E274/150))))</f>
        <v>1</v>
      </c>
      <c r="F275" s="80"/>
      <c r="G275" s="365"/>
    </row>
    <row r="276" spans="1:7" ht="14.65" thickBot="1">
      <c r="A276" s="6"/>
      <c r="B276" s="9"/>
      <c r="C276" s="366" t="str">
        <f>IF(E276=4,"SYARAT MUTLAK TERPENUHI","SYARAT MUTLAK TIDAK TERPENUHI")</f>
        <v>SYARAT MUTLAK TERPENUHI</v>
      </c>
      <c r="D276" s="367"/>
      <c r="E276" s="306">
        <f>IF(E275&gt;=1,4,0)</f>
        <v>4</v>
      </c>
      <c r="G276" s="365"/>
    </row>
    <row r="277" spans="1:7" ht="14.65" thickBot="1">
      <c r="C277" s="39"/>
      <c r="D277" s="39"/>
      <c r="G277" s="39"/>
    </row>
    <row r="278" spans="1:7" ht="30" customHeight="1">
      <c r="A278" s="4">
        <v>38</v>
      </c>
      <c r="B278" s="243" t="s">
        <v>53</v>
      </c>
      <c r="C278" s="358" t="s">
        <v>342</v>
      </c>
      <c r="D278" s="359"/>
      <c r="E278" s="271"/>
      <c r="G278" s="386" t="s">
        <v>507</v>
      </c>
    </row>
    <row r="279" spans="1:7" ht="28.5">
      <c r="A279" s="5"/>
      <c r="B279" s="7"/>
      <c r="C279" s="179"/>
      <c r="D279" s="177" t="s">
        <v>343</v>
      </c>
      <c r="E279" s="79">
        <v>2</v>
      </c>
      <c r="F279" s="2" t="s">
        <v>190</v>
      </c>
      <c r="G279" s="380"/>
    </row>
    <row r="280" spans="1:7" ht="30">
      <c r="A280" s="5"/>
      <c r="B280" s="7"/>
      <c r="C280" s="179"/>
      <c r="D280" s="177" t="s">
        <v>435</v>
      </c>
      <c r="E280" s="231">
        <v>2</v>
      </c>
      <c r="G280" s="380"/>
    </row>
    <row r="281" spans="1:7" ht="15.75">
      <c r="A281" s="5"/>
      <c r="B281" s="7"/>
      <c r="C281" s="180"/>
      <c r="D281" s="178" t="s">
        <v>188</v>
      </c>
      <c r="E281" s="42">
        <f>IF(E280=0,0,E279/E280)</f>
        <v>1</v>
      </c>
      <c r="F281" s="80"/>
      <c r="G281" s="380"/>
    </row>
    <row r="282" spans="1:7" ht="14.65" thickBot="1">
      <c r="A282" s="6"/>
      <c r="B282" s="9"/>
      <c r="C282" s="356" t="s">
        <v>0</v>
      </c>
      <c r="D282" s="357"/>
      <c r="E282" s="44">
        <f>IF(E281=2,4,4*E281)</f>
        <v>4</v>
      </c>
      <c r="G282" s="380"/>
    </row>
    <row r="283" spans="1:7" ht="14.65" thickBot="1">
      <c r="C283" s="39"/>
      <c r="D283" s="39"/>
      <c r="G283" s="39"/>
    </row>
    <row r="284" spans="1:7" ht="30" customHeight="1">
      <c r="A284" s="149">
        <v>39</v>
      </c>
      <c r="B284" s="243" t="s">
        <v>54</v>
      </c>
      <c r="C284" s="375" t="s">
        <v>287</v>
      </c>
      <c r="D284" s="359"/>
      <c r="E284" s="271"/>
      <c r="G284" s="364" t="s">
        <v>508</v>
      </c>
    </row>
    <row r="285" spans="1:7">
      <c r="A285" s="5"/>
      <c r="B285" s="7"/>
      <c r="C285" s="179"/>
      <c r="D285" s="177" t="s">
        <v>289</v>
      </c>
      <c r="E285" s="79">
        <v>1</v>
      </c>
      <c r="F285" s="2" t="s">
        <v>190</v>
      </c>
      <c r="G285" s="365"/>
    </row>
    <row r="286" spans="1:7" ht="31.15" customHeight="1">
      <c r="A286" s="5"/>
      <c r="B286" s="7"/>
      <c r="C286" s="179"/>
      <c r="D286" s="177" t="s">
        <v>436</v>
      </c>
      <c r="E286" s="188">
        <v>1</v>
      </c>
      <c r="G286" s="365"/>
    </row>
    <row r="287" spans="1:7" ht="15.75">
      <c r="A287" s="5"/>
      <c r="B287" s="7"/>
      <c r="C287" s="180"/>
      <c r="D287" s="178" t="s">
        <v>288</v>
      </c>
      <c r="E287" s="42">
        <f>IF(E286=0,0,E285/E286)</f>
        <v>1</v>
      </c>
      <c r="F287" s="80"/>
      <c r="G287" s="365"/>
    </row>
    <row r="288" spans="1:7" ht="14.65" thickBot="1">
      <c r="A288" s="6"/>
      <c r="B288" s="9"/>
      <c r="C288" s="366" t="str">
        <f>IF(E288=4,"SYARAT MUTLAK TERPENUHI","SYARAT MUTLAK TIDAK TERPENUHI")</f>
        <v>SYARAT MUTLAK TERPENUHI</v>
      </c>
      <c r="D288" s="367"/>
      <c r="E288" s="306">
        <f>IF(E287=1,4,0)</f>
        <v>4</v>
      </c>
      <c r="G288" s="365"/>
    </row>
    <row r="289" spans="1:7" ht="14.65" thickBot="1">
      <c r="C289" s="39"/>
      <c r="D289" s="39"/>
      <c r="G289" s="318"/>
    </row>
    <row r="290" spans="1:7" ht="30" customHeight="1">
      <c r="A290" s="4">
        <v>40</v>
      </c>
      <c r="B290" s="243" t="s">
        <v>55</v>
      </c>
      <c r="C290" s="375" t="s">
        <v>290</v>
      </c>
      <c r="D290" s="359"/>
      <c r="E290" s="271"/>
      <c r="G290" s="364" t="s">
        <v>509</v>
      </c>
    </row>
    <row r="291" spans="1:7">
      <c r="A291" s="5"/>
      <c r="B291" s="7"/>
      <c r="C291" s="184"/>
      <c r="D291" s="185" t="s">
        <v>291</v>
      </c>
      <c r="E291" s="79">
        <v>200</v>
      </c>
      <c r="F291" s="2" t="s">
        <v>106</v>
      </c>
      <c r="G291" s="365"/>
    </row>
    <row r="292" spans="1:7" ht="30">
      <c r="A292" s="5"/>
      <c r="B292" s="7"/>
      <c r="C292" s="163"/>
      <c r="D292" s="185" t="s">
        <v>436</v>
      </c>
      <c r="E292" s="82">
        <v>2</v>
      </c>
      <c r="G292" s="365"/>
    </row>
    <row r="293" spans="1:7" ht="15.75">
      <c r="A293" s="5"/>
      <c r="B293" s="7"/>
      <c r="C293" s="163"/>
      <c r="D293" s="185" t="s">
        <v>189</v>
      </c>
      <c r="E293" s="186">
        <f>E292*200</f>
        <v>400</v>
      </c>
      <c r="G293" s="365"/>
    </row>
    <row r="294" spans="1:7" ht="15.75">
      <c r="A294" s="5"/>
      <c r="B294" s="7"/>
      <c r="C294" s="180"/>
      <c r="D294" s="175" t="s">
        <v>75</v>
      </c>
      <c r="E294" s="42">
        <f>IF(E292=0,0,E291/E293)</f>
        <v>0.5</v>
      </c>
      <c r="F294" s="80"/>
      <c r="G294" s="365"/>
    </row>
    <row r="295" spans="1:7" ht="14.65" thickBot="1">
      <c r="A295" s="6"/>
      <c r="B295" s="9"/>
      <c r="C295" s="381" t="s">
        <v>0</v>
      </c>
      <c r="D295" s="357"/>
      <c r="E295" s="44">
        <f>IF(E294&gt;=2,4,2*E294)</f>
        <v>1</v>
      </c>
      <c r="G295" s="365"/>
    </row>
    <row r="296" spans="1:7" ht="14.25" customHeight="1" thickBot="1">
      <c r="C296" s="39"/>
      <c r="D296" s="39"/>
      <c r="G296" s="318"/>
    </row>
    <row r="297" spans="1:7" ht="30" customHeight="1">
      <c r="A297" s="149">
        <v>41</v>
      </c>
      <c r="B297" s="243" t="s">
        <v>56</v>
      </c>
      <c r="C297" s="375" t="s">
        <v>292</v>
      </c>
      <c r="D297" s="359"/>
      <c r="E297" s="271"/>
      <c r="G297" s="379" t="s">
        <v>510</v>
      </c>
    </row>
    <row r="298" spans="1:7" ht="31.15" customHeight="1">
      <c r="A298" s="5"/>
      <c r="B298" s="7"/>
      <c r="C298" s="184"/>
      <c r="D298" s="177" t="s">
        <v>293</v>
      </c>
      <c r="E298" s="79">
        <v>2</v>
      </c>
      <c r="F298" s="2" t="s">
        <v>190</v>
      </c>
      <c r="G298" s="380"/>
    </row>
    <row r="299" spans="1:7" ht="31.15" customHeight="1">
      <c r="A299" s="5"/>
      <c r="B299" s="7"/>
      <c r="C299" s="179"/>
      <c r="D299" s="177" t="s">
        <v>436</v>
      </c>
      <c r="E299" s="188">
        <v>2</v>
      </c>
      <c r="F299" s="2" t="s">
        <v>190</v>
      </c>
      <c r="G299" s="380"/>
    </row>
    <row r="300" spans="1:7" ht="15.75">
      <c r="A300" s="5"/>
      <c r="B300" s="7"/>
      <c r="C300" s="180"/>
      <c r="D300" s="178" t="s">
        <v>188</v>
      </c>
      <c r="E300" s="42">
        <f>IF(E299=0,0,E298/E299)</f>
        <v>1</v>
      </c>
      <c r="F300" s="80"/>
      <c r="G300" s="380"/>
    </row>
    <row r="301" spans="1:7" ht="14.65" thickBot="1">
      <c r="A301" s="6"/>
      <c r="B301" s="9"/>
      <c r="C301" s="366" t="str">
        <f>IF(E301=4,"SYARAT MUTLAK TERPENUHI","SYARAT MUTLAK TIDAK TERPENUHI")</f>
        <v>SYARAT MUTLAK TERPENUHI</v>
      </c>
      <c r="D301" s="367"/>
      <c r="E301" s="306">
        <f>IF(E300=1,4,0)</f>
        <v>4</v>
      </c>
      <c r="G301" s="380"/>
    </row>
    <row r="302" spans="1:7" ht="14.25" customHeight="1" thickBot="1">
      <c r="C302" s="39"/>
      <c r="D302" s="39"/>
      <c r="G302" s="318"/>
    </row>
    <row r="303" spans="1:7" ht="30" customHeight="1">
      <c r="A303" s="4">
        <v>42</v>
      </c>
      <c r="B303" s="243" t="s">
        <v>167</v>
      </c>
      <c r="C303" s="375" t="s">
        <v>191</v>
      </c>
      <c r="D303" s="359"/>
      <c r="E303" s="271"/>
      <c r="G303" s="379" t="s">
        <v>511</v>
      </c>
    </row>
    <row r="304" spans="1:7">
      <c r="A304" s="5"/>
      <c r="B304" s="7"/>
      <c r="C304" s="184"/>
      <c r="D304" s="185" t="s">
        <v>294</v>
      </c>
      <c r="E304" s="79">
        <v>4</v>
      </c>
      <c r="F304" s="2" t="s">
        <v>106</v>
      </c>
      <c r="G304" s="380"/>
    </row>
    <row r="305" spans="1:7" ht="30">
      <c r="A305" s="5"/>
      <c r="B305" s="7"/>
      <c r="C305" s="163"/>
      <c r="D305" s="185" t="s">
        <v>436</v>
      </c>
      <c r="E305" s="82">
        <f>E70</f>
        <v>4</v>
      </c>
      <c r="G305" s="380"/>
    </row>
    <row r="306" spans="1:7" ht="15.75">
      <c r="A306" s="5"/>
      <c r="B306" s="7"/>
      <c r="C306" s="163"/>
      <c r="D306" s="185" t="s">
        <v>192</v>
      </c>
      <c r="E306" s="186">
        <f>E305</f>
        <v>4</v>
      </c>
      <c r="G306" s="380"/>
    </row>
    <row r="307" spans="1:7" ht="15.75">
      <c r="A307" s="5"/>
      <c r="B307" s="7"/>
      <c r="C307" s="180"/>
      <c r="D307" s="175" t="s">
        <v>76</v>
      </c>
      <c r="E307" s="42">
        <f>IF(E305=0,0,E304/E306)</f>
        <v>1</v>
      </c>
      <c r="F307" s="80"/>
      <c r="G307" s="380"/>
    </row>
    <row r="308" spans="1:7" ht="14.65" thickBot="1">
      <c r="A308" s="6"/>
      <c r="B308" s="9"/>
      <c r="C308" s="381" t="s">
        <v>0</v>
      </c>
      <c r="D308" s="357"/>
      <c r="E308" s="44">
        <f>IF(E307&gt;=3,4,1+E307)</f>
        <v>2</v>
      </c>
      <c r="G308" s="380"/>
    </row>
    <row r="309" spans="1:7" ht="14.65" thickBot="1">
      <c r="C309" s="39"/>
      <c r="D309" s="39"/>
      <c r="G309" s="318"/>
    </row>
    <row r="310" spans="1:7" ht="59.65" customHeight="1">
      <c r="A310" s="4">
        <v>43</v>
      </c>
      <c r="B310" s="243" t="s">
        <v>168</v>
      </c>
      <c r="C310" s="358" t="s">
        <v>344</v>
      </c>
      <c r="D310" s="359"/>
      <c r="E310" s="47">
        <v>3</v>
      </c>
      <c r="F310" s="2" t="str">
        <f>IF(E310&gt;4,"Salah isi","")</f>
        <v/>
      </c>
      <c r="G310" s="371" t="s">
        <v>512</v>
      </c>
    </row>
    <row r="311" spans="1:7" ht="42.75">
      <c r="A311" s="5"/>
      <c r="B311" s="7"/>
      <c r="C311" s="72">
        <v>4</v>
      </c>
      <c r="D311" s="49" t="s">
        <v>303</v>
      </c>
      <c r="E311" s="50"/>
      <c r="G311" s="372"/>
    </row>
    <row r="312" spans="1:7" ht="42.75">
      <c r="A312" s="5"/>
      <c r="B312" s="7"/>
      <c r="C312" s="72">
        <v>3</v>
      </c>
      <c r="D312" s="49" t="s">
        <v>302</v>
      </c>
      <c r="E312" s="50"/>
      <c r="G312" s="372"/>
    </row>
    <row r="313" spans="1:7" ht="28.5">
      <c r="A313" s="5"/>
      <c r="B313" s="7"/>
      <c r="C313" s="72">
        <v>2</v>
      </c>
      <c r="D313" s="49" t="s">
        <v>300</v>
      </c>
      <c r="E313" s="50"/>
      <c r="G313" s="372"/>
    </row>
    <row r="314" spans="1:7" ht="28.5">
      <c r="A314" s="5"/>
      <c r="B314" s="7"/>
      <c r="C314" s="72">
        <v>1</v>
      </c>
      <c r="D314" s="49" t="s">
        <v>301</v>
      </c>
      <c r="E314" s="50"/>
      <c r="G314" s="372"/>
    </row>
    <row r="315" spans="1:7">
      <c r="A315" s="5"/>
      <c r="B315" s="7"/>
      <c r="C315" s="72">
        <v>0</v>
      </c>
      <c r="D315" s="49" t="s">
        <v>348</v>
      </c>
      <c r="E315" s="50"/>
      <c r="G315" s="372"/>
    </row>
    <row r="316" spans="1:7" ht="14.65" thickBot="1">
      <c r="A316" s="6"/>
      <c r="B316" s="9"/>
      <c r="C316" s="356" t="s">
        <v>0</v>
      </c>
      <c r="D316" s="357"/>
      <c r="E316" s="44">
        <f>IF(OR(E310&lt;1,E310&gt;4), "Salah Isi",E310)</f>
        <v>3</v>
      </c>
      <c r="G316" s="372"/>
    </row>
    <row r="317" spans="1:7" ht="14.65" thickBot="1">
      <c r="C317" s="39"/>
      <c r="D317" s="39"/>
      <c r="G317" s="318"/>
    </row>
    <row r="318" spans="1:7" ht="62.25" customHeight="1" thickBot="1">
      <c r="A318" s="4">
        <v>44</v>
      </c>
      <c r="B318" s="243" t="s">
        <v>57</v>
      </c>
      <c r="C318" s="358" t="s">
        <v>295</v>
      </c>
      <c r="D318" s="359"/>
      <c r="F318" s="2" t="str">
        <f>IF(E319&gt;4,"Salah isi","")</f>
        <v/>
      </c>
      <c r="G318" s="371" t="s">
        <v>513</v>
      </c>
    </row>
    <row r="319" spans="1:7" ht="42.75">
      <c r="A319" s="5"/>
      <c r="B319" s="7"/>
      <c r="C319" s="72">
        <v>4</v>
      </c>
      <c r="D319" s="49" t="s">
        <v>360</v>
      </c>
      <c r="E319" s="47">
        <v>2</v>
      </c>
      <c r="G319" s="372"/>
    </row>
    <row r="320" spans="1:7" ht="42.75">
      <c r="A320" s="5"/>
      <c r="B320" s="7"/>
      <c r="C320" s="72">
        <v>3</v>
      </c>
      <c r="D320" s="49" t="s">
        <v>359</v>
      </c>
      <c r="E320" s="50"/>
      <c r="G320" s="372"/>
    </row>
    <row r="321" spans="1:7" ht="28.5">
      <c r="A321" s="5"/>
      <c r="B321" s="7"/>
      <c r="C321" s="72">
        <v>2</v>
      </c>
      <c r="D321" s="49" t="s">
        <v>298</v>
      </c>
      <c r="E321" s="50"/>
      <c r="G321" s="372"/>
    </row>
    <row r="322" spans="1:7" ht="28.5">
      <c r="A322" s="5"/>
      <c r="B322" s="7"/>
      <c r="C322" s="72">
        <v>1</v>
      </c>
      <c r="D322" s="49" t="s">
        <v>299</v>
      </c>
      <c r="E322" s="50"/>
      <c r="G322" s="372"/>
    </row>
    <row r="323" spans="1:7">
      <c r="A323" s="5"/>
      <c r="B323" s="7"/>
      <c r="C323" s="72">
        <v>0</v>
      </c>
      <c r="D323" s="49" t="s">
        <v>358</v>
      </c>
      <c r="E323" s="50"/>
      <c r="G323" s="372"/>
    </row>
    <row r="324" spans="1:7" ht="14.65" thickBot="1">
      <c r="A324" s="6"/>
      <c r="B324" s="9"/>
      <c r="C324" s="356" t="s">
        <v>0</v>
      </c>
      <c r="D324" s="357"/>
      <c r="E324" s="44">
        <f>IF(E319&gt;4, "Salah Isi",E319)</f>
        <v>2</v>
      </c>
      <c r="G324" s="372"/>
    </row>
    <row r="325" spans="1:7" ht="14.65" thickBot="1">
      <c r="C325" s="39"/>
      <c r="D325" s="39"/>
      <c r="G325" s="318"/>
    </row>
    <row r="326" spans="1:7" ht="30" customHeight="1">
      <c r="A326" s="4">
        <v>45</v>
      </c>
      <c r="B326" s="243" t="s">
        <v>58</v>
      </c>
      <c r="C326" s="358" t="s">
        <v>59</v>
      </c>
      <c r="D326" s="359"/>
      <c r="E326" s="47">
        <v>2</v>
      </c>
      <c r="F326" s="2" t="str">
        <f>IF(E326&gt;4,"Salah isi","")</f>
        <v/>
      </c>
      <c r="G326" s="371" t="s">
        <v>514</v>
      </c>
    </row>
    <row r="327" spans="1:7" ht="71.25">
      <c r="A327" s="5"/>
      <c r="B327" s="7"/>
      <c r="C327" s="72">
        <v>4</v>
      </c>
      <c r="D327" s="49" t="s">
        <v>67</v>
      </c>
      <c r="E327" s="50"/>
      <c r="G327" s="372"/>
    </row>
    <row r="328" spans="1:7" ht="71.25">
      <c r="A328" s="5"/>
      <c r="B328" s="7"/>
      <c r="C328" s="72">
        <v>3</v>
      </c>
      <c r="D328" s="49" t="s">
        <v>65</v>
      </c>
      <c r="E328" s="50"/>
      <c r="G328" s="372"/>
    </row>
    <row r="329" spans="1:7" ht="57">
      <c r="A329" s="5"/>
      <c r="B329" s="7"/>
      <c r="C329" s="72">
        <v>2</v>
      </c>
      <c r="D329" s="49" t="s">
        <v>66</v>
      </c>
      <c r="E329" s="50"/>
      <c r="G329" s="372"/>
    </row>
    <row r="330" spans="1:7" ht="42.75">
      <c r="A330" s="5"/>
      <c r="B330" s="7"/>
      <c r="C330" s="72">
        <v>1</v>
      </c>
      <c r="D330" s="49" t="s">
        <v>68</v>
      </c>
      <c r="E330" s="50"/>
      <c r="G330" s="372"/>
    </row>
    <row r="331" spans="1:7" ht="28.5">
      <c r="A331" s="5"/>
      <c r="B331" s="7"/>
      <c r="C331" s="72">
        <v>0</v>
      </c>
      <c r="D331" s="49" t="s">
        <v>361</v>
      </c>
      <c r="E331" s="50"/>
      <c r="G331" s="372"/>
    </row>
    <row r="332" spans="1:7" ht="14.65" thickBot="1">
      <c r="A332" s="6"/>
      <c r="B332" s="9"/>
      <c r="C332" s="356" t="s">
        <v>0</v>
      </c>
      <c r="D332" s="357"/>
      <c r="E332" s="44">
        <f>IF(E326&gt;4, "Salah Isi",E326)</f>
        <v>2</v>
      </c>
      <c r="G332" s="372"/>
    </row>
    <row r="333" spans="1:7" ht="14.65" thickBot="1">
      <c r="C333" s="39"/>
      <c r="D333" s="39"/>
      <c r="G333" s="318"/>
    </row>
    <row r="334" spans="1:7" ht="45" customHeight="1">
      <c r="A334" s="4">
        <v>46</v>
      </c>
      <c r="B334" s="243" t="s">
        <v>64</v>
      </c>
      <c r="C334" s="358" t="s">
        <v>304</v>
      </c>
      <c r="D334" s="359"/>
      <c r="E334" s="47">
        <v>2</v>
      </c>
      <c r="F334" s="2" t="str">
        <f>IF(E334&gt;4,"Salah isi","")</f>
        <v/>
      </c>
      <c r="G334" s="371" t="s">
        <v>515</v>
      </c>
    </row>
    <row r="335" spans="1:7" ht="71.25">
      <c r="A335" s="5"/>
      <c r="B335" s="7"/>
      <c r="C335" s="72">
        <v>4</v>
      </c>
      <c r="D335" s="49" t="s">
        <v>60</v>
      </c>
      <c r="E335" s="50"/>
      <c r="G335" s="372"/>
    </row>
    <row r="336" spans="1:7" ht="71.25">
      <c r="A336" s="5"/>
      <c r="B336" s="7"/>
      <c r="C336" s="72">
        <v>3</v>
      </c>
      <c r="D336" s="49" t="s">
        <v>61</v>
      </c>
      <c r="E336" s="50"/>
      <c r="G336" s="372"/>
    </row>
    <row r="337" spans="1:7" ht="57">
      <c r="A337" s="5"/>
      <c r="B337" s="7"/>
      <c r="C337" s="72">
        <v>2</v>
      </c>
      <c r="D337" s="49" t="s">
        <v>62</v>
      </c>
      <c r="E337" s="50"/>
      <c r="G337" s="372"/>
    </row>
    <row r="338" spans="1:7" ht="42.75">
      <c r="A338" s="5"/>
      <c r="B338" s="7"/>
      <c r="C338" s="72">
        <v>1</v>
      </c>
      <c r="D338" s="49" t="s">
        <v>63</v>
      </c>
      <c r="E338" s="50"/>
      <c r="G338" s="372"/>
    </row>
    <row r="339" spans="1:7" ht="28.5">
      <c r="A339" s="5"/>
      <c r="B339" s="7"/>
      <c r="C339" s="72">
        <v>0</v>
      </c>
      <c r="D339" s="49" t="s">
        <v>362</v>
      </c>
      <c r="E339" s="50"/>
      <c r="G339" s="372"/>
    </row>
    <row r="340" spans="1:7" ht="14.65" thickBot="1">
      <c r="A340" s="6"/>
      <c r="B340" s="9"/>
      <c r="C340" s="356" t="s">
        <v>0</v>
      </c>
      <c r="D340" s="357"/>
      <c r="E340" s="44">
        <f>IF(E334&gt;4, "Salah Isi",E334)</f>
        <v>2</v>
      </c>
      <c r="G340" s="372"/>
    </row>
    <row r="341" spans="1:7">
      <c r="C341" s="39"/>
      <c r="D341" s="39"/>
      <c r="G341" s="318"/>
    </row>
    <row r="342" spans="1:7" ht="14.65" thickBot="1">
      <c r="A342" s="235" t="s">
        <v>401</v>
      </c>
      <c r="C342" s="39"/>
      <c r="D342" s="39"/>
      <c r="G342" s="318"/>
    </row>
    <row r="343" spans="1:7" ht="30" customHeight="1">
      <c r="A343" s="149">
        <v>47</v>
      </c>
      <c r="B343" s="255" t="s">
        <v>169</v>
      </c>
      <c r="C343" s="358" t="s">
        <v>193</v>
      </c>
      <c r="D343" s="359"/>
      <c r="E343" s="47" t="s">
        <v>176</v>
      </c>
      <c r="G343" s="364" t="s">
        <v>516</v>
      </c>
    </row>
    <row r="344" spans="1:7" ht="210" customHeight="1">
      <c r="A344" s="5"/>
      <c r="B344" s="7"/>
      <c r="C344" s="376" t="s">
        <v>194</v>
      </c>
      <c r="D344" s="361"/>
      <c r="E344" s="162" t="s">
        <v>176</v>
      </c>
      <c r="G344" s="365"/>
    </row>
    <row r="345" spans="1:7" ht="14.65" customHeight="1">
      <c r="A345" s="5"/>
      <c r="B345" s="240"/>
      <c r="C345" s="163"/>
      <c r="D345" s="164" t="s">
        <v>179</v>
      </c>
      <c r="E345" s="162" t="s">
        <v>177</v>
      </c>
      <c r="G345" s="365"/>
    </row>
    <row r="346" spans="1:7" ht="14.65" customHeight="1">
      <c r="A346" s="5"/>
      <c r="B346" s="240"/>
      <c r="C346" s="163"/>
      <c r="D346" s="164" t="s">
        <v>178</v>
      </c>
      <c r="E346" s="162" t="s">
        <v>177</v>
      </c>
      <c r="G346" s="365"/>
    </row>
    <row r="347" spans="1:7" ht="14.65" thickBot="1">
      <c r="A347" s="6"/>
      <c r="B347" s="9"/>
      <c r="C347" s="366" t="str">
        <f>IF(E347=4,"SYARAT MUTLAK TERPENUHI","SYARAT MUTLAK TIDAK TERPENUHI")</f>
        <v>SYARAT MUTLAK TERPENUHI</v>
      </c>
      <c r="D347" s="367"/>
      <c r="E347" s="306">
        <f>IF(E343="Ya",4,0)</f>
        <v>4</v>
      </c>
      <c r="G347" s="365"/>
    </row>
    <row r="348" spans="1:7">
      <c r="C348" s="39"/>
      <c r="D348" s="39"/>
      <c r="G348" s="318"/>
    </row>
    <row r="349" spans="1:7" ht="14.65" thickBot="1">
      <c r="A349" s="235" t="s">
        <v>402</v>
      </c>
      <c r="C349" s="39"/>
      <c r="D349" s="39"/>
      <c r="G349" s="318"/>
    </row>
    <row r="350" spans="1:7" ht="30" customHeight="1">
      <c r="A350" s="149">
        <v>48</v>
      </c>
      <c r="B350" s="255" t="s">
        <v>171</v>
      </c>
      <c r="C350" s="358" t="s">
        <v>170</v>
      </c>
      <c r="D350" s="359"/>
      <c r="E350" s="47" t="s">
        <v>176</v>
      </c>
      <c r="G350" s="364" t="s">
        <v>517</v>
      </c>
    </row>
    <row r="351" spans="1:7" ht="202.15" customHeight="1">
      <c r="A351" s="5"/>
      <c r="B351" s="7"/>
      <c r="C351" s="377" t="s">
        <v>374</v>
      </c>
      <c r="D351" s="378"/>
      <c r="E351" s="162" t="s">
        <v>176</v>
      </c>
      <c r="G351" s="365"/>
    </row>
    <row r="352" spans="1:7" ht="14.65" customHeight="1">
      <c r="A352" s="5"/>
      <c r="B352" s="240"/>
      <c r="C352" s="163"/>
      <c r="D352" s="164" t="s">
        <v>179</v>
      </c>
      <c r="E352" s="162" t="s">
        <v>177</v>
      </c>
      <c r="G352" s="365"/>
    </row>
    <row r="353" spans="1:7" ht="14.65" customHeight="1">
      <c r="A353" s="5"/>
      <c r="B353" s="240"/>
      <c r="C353" s="163"/>
      <c r="D353" s="164" t="s">
        <v>178</v>
      </c>
      <c r="E353" s="162" t="s">
        <v>177</v>
      </c>
      <c r="G353" s="365"/>
    </row>
    <row r="354" spans="1:7" ht="14.65" thickBot="1">
      <c r="A354" s="6"/>
      <c r="B354" s="9"/>
      <c r="C354" s="366" t="str">
        <f>IF(E354=4,"SYARAT MUTLAK TERPENUHI","SYARAT MUTLAK TIDAK TERPENUHI")</f>
        <v>SYARAT MUTLAK TERPENUHI</v>
      </c>
      <c r="D354" s="367"/>
      <c r="E354" s="306">
        <f>IF(E350="Ya",4,0)</f>
        <v>4</v>
      </c>
      <c r="G354" s="365"/>
    </row>
    <row r="355" spans="1:7">
      <c r="C355" s="39"/>
      <c r="D355" s="39"/>
      <c r="G355" s="318"/>
    </row>
    <row r="356" spans="1:7" ht="14.65" thickBot="1">
      <c r="A356" s="235" t="s">
        <v>403</v>
      </c>
      <c r="C356" s="39"/>
      <c r="D356" s="39"/>
      <c r="G356" s="318"/>
    </row>
    <row r="357" spans="1:7" ht="90" customHeight="1">
      <c r="A357" s="4">
        <v>49</v>
      </c>
      <c r="B357" s="255" t="s">
        <v>172</v>
      </c>
      <c r="C357" s="358" t="s">
        <v>378</v>
      </c>
      <c r="D357" s="359"/>
      <c r="E357" s="47">
        <v>2</v>
      </c>
      <c r="F357" s="2" t="str">
        <f>IF(E357&gt;4,"Salah isi","")</f>
        <v/>
      </c>
      <c r="G357" s="364" t="s">
        <v>518</v>
      </c>
    </row>
    <row r="358" spans="1:7" ht="42.75">
      <c r="A358" s="5"/>
      <c r="B358" s="7"/>
      <c r="C358" s="72">
        <v>4</v>
      </c>
      <c r="D358" s="49" t="s">
        <v>309</v>
      </c>
      <c r="E358" s="50"/>
      <c r="G358" s="365"/>
    </row>
    <row r="359" spans="1:7" ht="42.75">
      <c r="A359" s="5"/>
      <c r="B359" s="7"/>
      <c r="C359" s="72">
        <v>3</v>
      </c>
      <c r="D359" s="49" t="s">
        <v>310</v>
      </c>
      <c r="E359" s="50"/>
      <c r="G359" s="365"/>
    </row>
    <row r="360" spans="1:7" ht="42.75">
      <c r="A360" s="5"/>
      <c r="B360" s="7"/>
      <c r="C360" s="72">
        <v>2</v>
      </c>
      <c r="D360" s="49" t="s">
        <v>311</v>
      </c>
      <c r="E360" s="50"/>
      <c r="G360" s="365"/>
    </row>
    <row r="361" spans="1:7" ht="42.75">
      <c r="A361" s="5"/>
      <c r="B361" s="7"/>
      <c r="C361" s="72">
        <v>1</v>
      </c>
      <c r="D361" s="88" t="s">
        <v>312</v>
      </c>
      <c r="E361" s="50"/>
      <c r="G361" s="365"/>
    </row>
    <row r="362" spans="1:7">
      <c r="A362" s="5"/>
      <c r="B362" s="7"/>
      <c r="C362" s="72">
        <v>0</v>
      </c>
      <c r="D362" s="49" t="s">
        <v>313</v>
      </c>
      <c r="E362" s="50"/>
      <c r="G362" s="365"/>
    </row>
    <row r="363" spans="1:7" ht="14.65" thickBot="1">
      <c r="A363" s="6"/>
      <c r="B363" s="9"/>
      <c r="C363" s="356" t="s">
        <v>0</v>
      </c>
      <c r="D363" s="357"/>
      <c r="E363" s="44">
        <f>IF(E357&gt;4, "Salah Isi",E357)</f>
        <v>2</v>
      </c>
      <c r="G363" s="365"/>
    </row>
    <row r="364" spans="1:7">
      <c r="C364" s="39"/>
      <c r="D364" s="39"/>
      <c r="G364" s="318"/>
    </row>
    <row r="365" spans="1:7" ht="14.65" thickBot="1">
      <c r="A365" s="235" t="s">
        <v>404</v>
      </c>
      <c r="C365" s="39"/>
      <c r="D365" s="39"/>
      <c r="G365" s="318"/>
    </row>
    <row r="366" spans="1:7" ht="30" customHeight="1">
      <c r="A366" s="149">
        <v>50</v>
      </c>
      <c r="B366" s="255" t="s">
        <v>345</v>
      </c>
      <c r="C366" s="358" t="s">
        <v>346</v>
      </c>
      <c r="D366" s="359"/>
      <c r="E366" s="47" t="s">
        <v>176</v>
      </c>
      <c r="G366" s="364" t="s">
        <v>519</v>
      </c>
    </row>
    <row r="367" spans="1:7" ht="60" customHeight="1">
      <c r="A367" s="5"/>
      <c r="B367" s="7"/>
      <c r="C367" s="373" t="s">
        <v>363</v>
      </c>
      <c r="D367" s="374"/>
      <c r="E367" s="162" t="s">
        <v>176</v>
      </c>
      <c r="G367" s="365"/>
    </row>
    <row r="368" spans="1:7" ht="15">
      <c r="A368" s="5"/>
      <c r="B368" s="7"/>
      <c r="C368" s="181"/>
      <c r="D368" s="182" t="s">
        <v>278</v>
      </c>
      <c r="E368" s="162" t="s">
        <v>177</v>
      </c>
      <c r="G368" s="365"/>
    </row>
    <row r="369" spans="1:7">
      <c r="A369" s="5"/>
      <c r="B369" s="7"/>
      <c r="C369" s="163"/>
      <c r="D369" s="164" t="s">
        <v>279</v>
      </c>
      <c r="E369" s="162" t="s">
        <v>177</v>
      </c>
      <c r="F369" s="80"/>
      <c r="G369" s="365"/>
    </row>
    <row r="370" spans="1:7" ht="14.65" thickBot="1">
      <c r="A370" s="6"/>
      <c r="B370" s="9"/>
      <c r="C370" s="366" t="str">
        <f>IF(E370=4,"SYARAT MUTLAK TERPENUHI","SYARAT MUTLAK TIDAK TERPENUHI")</f>
        <v>SYARAT MUTLAK TERPENUHI</v>
      </c>
      <c r="D370" s="367"/>
      <c r="E370" s="306">
        <f>IF(E366="Ya",4,0)</f>
        <v>4</v>
      </c>
      <c r="F370" s="80"/>
      <c r="G370" s="365"/>
    </row>
    <row r="371" spans="1:7">
      <c r="C371" s="39"/>
      <c r="D371" s="39"/>
      <c r="F371" s="80"/>
      <c r="G371" s="318"/>
    </row>
    <row r="372" spans="1:7" ht="14.65" thickBot="1">
      <c r="A372" s="235" t="s">
        <v>405</v>
      </c>
      <c r="C372" s="39"/>
      <c r="D372" s="39"/>
      <c r="G372" s="318"/>
    </row>
    <row r="373" spans="1:7" ht="30" customHeight="1">
      <c r="A373" s="4">
        <v>51</v>
      </c>
      <c r="B373" s="255" t="s">
        <v>218</v>
      </c>
      <c r="C373" s="358" t="s">
        <v>308</v>
      </c>
      <c r="D373" s="359"/>
      <c r="E373" s="89"/>
      <c r="G373" s="368" t="s">
        <v>520</v>
      </c>
    </row>
    <row r="374" spans="1:7" ht="35.65" customHeight="1">
      <c r="A374" s="5"/>
      <c r="B374" s="7"/>
      <c r="C374" s="360" t="s">
        <v>306</v>
      </c>
      <c r="D374" s="361"/>
      <c r="E374" s="81">
        <v>192</v>
      </c>
      <c r="F374" s="2" t="s">
        <v>107</v>
      </c>
      <c r="G374" s="369"/>
    </row>
    <row r="375" spans="1:7" ht="15" customHeight="1">
      <c r="A375" s="5"/>
      <c r="B375" s="7"/>
      <c r="C375" s="360" t="s">
        <v>307</v>
      </c>
      <c r="D375" s="361"/>
      <c r="E375" s="81">
        <v>12648</v>
      </c>
      <c r="F375" s="2" t="s">
        <v>107</v>
      </c>
      <c r="G375" s="369"/>
    </row>
    <row r="376" spans="1:7">
      <c r="A376" s="5"/>
      <c r="B376" s="7"/>
      <c r="C376" s="362" t="s">
        <v>77</v>
      </c>
      <c r="D376" s="363"/>
      <c r="E376" s="90">
        <f>E374/E375</f>
        <v>1.5180265654648957E-2</v>
      </c>
      <c r="G376" s="369"/>
    </row>
    <row r="377" spans="1:7" ht="14.65" thickBot="1">
      <c r="A377" s="6"/>
      <c r="B377" s="9"/>
      <c r="C377" s="356" t="s">
        <v>0</v>
      </c>
      <c r="D377" s="357"/>
      <c r="E377" s="44">
        <f>IF(E376&gt;100%,"Salah isi",IF(E376&lt;=0.75,4,(10-8*E376)))</f>
        <v>4</v>
      </c>
      <c r="G377" s="369"/>
    </row>
    <row r="378" spans="1:7">
      <c r="C378" s="39"/>
      <c r="D378" s="39"/>
      <c r="G378" s="318"/>
    </row>
    <row r="379" spans="1:7" ht="14.65" thickBot="1">
      <c r="A379" s="235" t="s">
        <v>406</v>
      </c>
      <c r="C379" s="39"/>
      <c r="D379" s="39"/>
      <c r="G379" s="318"/>
    </row>
    <row r="380" spans="1:7" ht="30" customHeight="1">
      <c r="A380" s="4">
        <v>52</v>
      </c>
      <c r="B380" s="255" t="s">
        <v>219</v>
      </c>
      <c r="C380" s="358" t="s">
        <v>305</v>
      </c>
      <c r="D380" s="359"/>
      <c r="E380" s="269">
        <v>2</v>
      </c>
      <c r="F380" s="2" t="str">
        <f>IF(E380&gt;4,"Salah isi","")</f>
        <v/>
      </c>
      <c r="G380" s="370" t="s">
        <v>521</v>
      </c>
    </row>
    <row r="381" spans="1:7" ht="57">
      <c r="A381" s="5"/>
      <c r="B381" s="7"/>
      <c r="C381" s="72">
        <v>4</v>
      </c>
      <c r="D381" s="189" t="s">
        <v>202</v>
      </c>
      <c r="E381" s="50"/>
      <c r="G381" s="369"/>
    </row>
    <row r="382" spans="1:7" ht="42.75">
      <c r="A382" s="5"/>
      <c r="B382" s="7"/>
      <c r="C382" s="72">
        <v>3</v>
      </c>
      <c r="D382" s="189" t="s">
        <v>198</v>
      </c>
      <c r="E382" s="50"/>
      <c r="G382" s="369"/>
    </row>
    <row r="383" spans="1:7" ht="42.75">
      <c r="A383" s="5"/>
      <c r="B383" s="7"/>
      <c r="C383" s="72">
        <v>2</v>
      </c>
      <c r="D383" s="189" t="s">
        <v>199</v>
      </c>
      <c r="E383" s="50"/>
      <c r="G383" s="369"/>
    </row>
    <row r="384" spans="1:7" ht="42.75">
      <c r="A384" s="5"/>
      <c r="B384" s="7"/>
      <c r="C384" s="72">
        <v>1</v>
      </c>
      <c r="D384" s="189" t="s">
        <v>200</v>
      </c>
      <c r="E384" s="50"/>
      <c r="G384" s="369"/>
    </row>
    <row r="385" spans="1:7" ht="28.5">
      <c r="A385" s="5"/>
      <c r="B385" s="7"/>
      <c r="C385" s="72">
        <v>0</v>
      </c>
      <c r="D385" s="189" t="s">
        <v>201</v>
      </c>
      <c r="E385" s="50"/>
      <c r="G385" s="369"/>
    </row>
    <row r="386" spans="1:7" ht="14.65" thickBot="1">
      <c r="A386" s="6"/>
      <c r="B386" s="9"/>
      <c r="C386" s="356" t="s">
        <v>0</v>
      </c>
      <c r="D386" s="357"/>
      <c r="E386" s="44">
        <f>IF(E380&gt;4, "Salah Isi",E380)</f>
        <v>2</v>
      </c>
      <c r="G386" s="369"/>
    </row>
    <row r="387" spans="1:7">
      <c r="C387" s="39"/>
      <c r="D387" s="39"/>
      <c r="G387" s="39"/>
    </row>
    <row r="390" spans="1:7">
      <c r="A390" s="2"/>
      <c r="B390" s="2"/>
    </row>
  </sheetData>
  <sheetProtection selectLockedCells="1"/>
  <protectedRanges>
    <protectedRange sqref="E366" name="Skor51"/>
    <protectedRange sqref="E285" name="Skor40"/>
    <protectedRange sqref="E279" name="Skor39"/>
    <protectedRange sqref="E274" name="Skor38"/>
    <protectedRange sqref="E268" name="Skor37"/>
    <protectedRange sqref="E262" name="Skor36"/>
    <protectedRange sqref="E256" name="Skor35"/>
    <protectedRange sqref="E366 E248:F248" name="Skor34"/>
    <protectedRange sqref="E191:E192" name="Skor26"/>
    <protectedRange sqref="E185" name="Skor25"/>
    <protectedRange sqref="E179:E180" name="Skor24"/>
    <protectedRange sqref="E173" name="Skor23"/>
    <protectedRange sqref="E164" name="Skor22"/>
    <protectedRange sqref="E159:E160" name="Skor21"/>
    <protectedRange sqref="E147" name="Skor19"/>
    <protectedRange sqref="E135" name="Skor18"/>
    <protectedRange sqref="E127" name="Skor17"/>
    <protectedRange sqref="E119" name="Skor16"/>
    <protectedRange sqref="E111" name="Skor15"/>
    <protectedRange sqref="E103" name="Skor14"/>
    <protectedRange sqref="E96:E99" name="Skor12"/>
    <protectedRange sqref="E90:E91" name="Skor11"/>
    <protectedRange sqref="E82:E83" name="Skor10"/>
    <protectedRange sqref="E81 E89 E95" name="Skor09"/>
    <protectedRange sqref="E5:E8" name="Skor01"/>
    <protectedRange sqref="E13:E14" name="Skor02"/>
    <protectedRange sqref="E19" name="Skor03"/>
    <protectedRange sqref="E25" name="Skor04"/>
    <protectedRange sqref="E30" name="Skor05"/>
    <protectedRange sqref="E38" name="Skor06"/>
    <protectedRange sqref="E46" name="Skor07"/>
    <protectedRange sqref="E54" name="Skor08"/>
    <protectedRange sqref="E196" name="Skor27"/>
    <protectedRange sqref="E204" name="Skor28"/>
    <protectedRange sqref="E212" name="Skor29"/>
    <protectedRange sqref="E220" name="Skor30"/>
    <protectedRange sqref="E228" name="Skor31"/>
    <protectedRange sqref="E239" name="Skor32"/>
    <protectedRange sqref="E291" name="Skor41"/>
    <protectedRange sqref="E298" name="Skor42"/>
    <protectedRange sqref="E304" name="Skor43"/>
    <protectedRange sqref="E310" name="Skor44"/>
    <protectedRange sqref="E319" name="Skor45"/>
    <protectedRange sqref="E326" name="Skor46"/>
    <protectedRange sqref="E334" name="Skor47"/>
    <protectedRange sqref="E343" name="Skor48"/>
    <protectedRange sqref="E350" name="Skor49"/>
    <protectedRange sqref="E357" name="Skor50"/>
    <protectedRange sqref="E374:E375" name="Skor52"/>
    <protectedRange sqref="E380" name="Skor53"/>
    <protectedRange sqref="E66:E70" name="Skor09_4"/>
    <protectedRange sqref="G284" name="Info40_1"/>
    <protectedRange sqref="G278" name="Info39_1"/>
    <protectedRange sqref="G272" name="Info38_1"/>
    <protectedRange sqref="G266" name="Info37_1"/>
    <protectedRange sqref="G260" name="Info36_1"/>
    <protectedRange sqref="G254" name="Info35_1"/>
    <protectedRange sqref="G248 G366" name="Info34_1"/>
    <protectedRange sqref="G190" name="Info26_1"/>
    <protectedRange sqref="G184" name="Info25_1"/>
    <protectedRange sqref="G178" name="Info24_1"/>
    <protectedRange sqref="G172" name="Info23_1"/>
    <protectedRange sqref="G164" name="Info22_1"/>
    <protectedRange sqref="G156" name="Info21_1"/>
    <protectedRange sqref="G152" name="Info20_1"/>
    <protectedRange sqref="G144:G146" name="Info19_1"/>
    <protectedRange sqref="G135" name="Info18_1"/>
    <protectedRange sqref="G127" name="Info17_1"/>
    <protectedRange sqref="G119" name="Info16_1"/>
    <protectedRange sqref="G111" name="Info15_1"/>
    <protectedRange sqref="G103" name="Info14_1"/>
    <protectedRange sqref="G94" name="Info12_1"/>
    <protectedRange sqref="G87" name="Info11_1"/>
    <protectedRange sqref="G79" name="Info10_1"/>
    <protectedRange sqref="G81 G89 G65:G70 G95" name="Info09_1"/>
    <protectedRange sqref="G38" name="Info06_1"/>
    <protectedRange sqref="G46" name="Info07_1"/>
    <protectedRange sqref="G54" name="Info08_1"/>
    <protectedRange sqref="G196" name="Info27_1"/>
    <protectedRange sqref="G204" name="Info28_1"/>
    <protectedRange sqref="G212" name="Info29_1"/>
    <protectedRange sqref="G220" name="Info30_1"/>
    <protectedRange sqref="G228" name="Info31_1"/>
    <protectedRange sqref="G237" name="Info32_1"/>
    <protectedRange sqref="G244" name="Info33_1"/>
    <protectedRange sqref="G290" name="Info41_1"/>
    <protectedRange sqref="G297" name="Info42_1"/>
    <protectedRange sqref="G303" name="Info43_1"/>
    <protectedRange sqref="G310" name="Info44_1"/>
    <protectedRange sqref="G318" name="Info45_1"/>
    <protectedRange sqref="G326" name="Info46_1"/>
    <protectedRange sqref="G334" name="Info47_1"/>
    <protectedRange sqref="G343" name="Info48_1"/>
    <protectedRange sqref="G350" name="Info49_1"/>
    <protectedRange sqref="G357" name="Info50_1"/>
    <protectedRange sqref="G373" name="Info51_1"/>
    <protectedRange sqref="G380" name="Info52_1"/>
    <protectedRange sqref="G4" name="Info01_2_1"/>
    <protectedRange sqref="G12" name="Info02_2_1"/>
    <protectedRange sqref="G19" name="Info03_2_1"/>
    <protectedRange sqref="G25" name="Info04_2_1"/>
    <protectedRange sqref="G30" name="Info05_2_1"/>
  </protectedRanges>
  <mergeCells count="186">
    <mergeCell ref="G260:G264"/>
    <mergeCell ref="C237:D237"/>
    <mergeCell ref="C244:D244"/>
    <mergeCell ref="A143:E143"/>
    <mergeCell ref="A155:E155"/>
    <mergeCell ref="C258:D258"/>
    <mergeCell ref="C254:D254"/>
    <mergeCell ref="G172:G176"/>
    <mergeCell ref="C182:D182"/>
    <mergeCell ref="C172:D172"/>
    <mergeCell ref="C156:D156"/>
    <mergeCell ref="G156:G162"/>
    <mergeCell ref="C162:D162"/>
    <mergeCell ref="C248:D248"/>
    <mergeCell ref="G248:G252"/>
    <mergeCell ref="C249:D249"/>
    <mergeCell ref="C228:D228"/>
    <mergeCell ref="G178:G182"/>
    <mergeCell ref="C188:D188"/>
    <mergeCell ref="C190:D190"/>
    <mergeCell ref="C212:D212"/>
    <mergeCell ref="C210:D210"/>
    <mergeCell ref="C178:D178"/>
    <mergeCell ref="C196:D196"/>
    <mergeCell ref="C95:D95"/>
    <mergeCell ref="G65:G76"/>
    <mergeCell ref="C87:D87"/>
    <mergeCell ref="C94:D94"/>
    <mergeCell ref="G152:G153"/>
    <mergeCell ref="C176:D176"/>
    <mergeCell ref="C144:D144"/>
    <mergeCell ref="C135:D135"/>
    <mergeCell ref="C152:D152"/>
    <mergeCell ref="C153:D153"/>
    <mergeCell ref="G164:G170"/>
    <mergeCell ref="C150:D150"/>
    <mergeCell ref="G111:G117"/>
    <mergeCell ref="G119:G125"/>
    <mergeCell ref="C164:D164"/>
    <mergeCell ref="C170:D170"/>
    <mergeCell ref="G127:G133"/>
    <mergeCell ref="G135:G141"/>
    <mergeCell ref="C92:D92"/>
    <mergeCell ref="C88:D88"/>
    <mergeCell ref="C133:D133"/>
    <mergeCell ref="C141:D141"/>
    <mergeCell ref="G144:G150"/>
    <mergeCell ref="C101:D101"/>
    <mergeCell ref="A86:E86"/>
    <mergeCell ref="C89:D89"/>
    <mergeCell ref="C79:D79"/>
    <mergeCell ref="G79:G84"/>
    <mergeCell ref="C30:D30"/>
    <mergeCell ref="C38:D38"/>
    <mergeCell ref="C4:D4"/>
    <mergeCell ref="G4:G10"/>
    <mergeCell ref="G12:G16"/>
    <mergeCell ref="G30:G36"/>
    <mergeCell ref="G25:G28"/>
    <mergeCell ref="C28:D28"/>
    <mergeCell ref="C19:D19"/>
    <mergeCell ref="G19:G22"/>
    <mergeCell ref="C22:D22"/>
    <mergeCell ref="G38:G44"/>
    <mergeCell ref="C12:D12"/>
    <mergeCell ref="C25:D25"/>
    <mergeCell ref="C80:D80"/>
    <mergeCell ref="G46:G52"/>
    <mergeCell ref="G54:G60"/>
    <mergeCell ref="C69:D69"/>
    <mergeCell ref="C68:D68"/>
    <mergeCell ref="C66:D66"/>
    <mergeCell ref="C67:D67"/>
    <mergeCell ref="C70:D70"/>
    <mergeCell ref="A64:E64"/>
    <mergeCell ref="A1:G1"/>
    <mergeCell ref="A2:G2"/>
    <mergeCell ref="C36:D36"/>
    <mergeCell ref="C127:D127"/>
    <mergeCell ref="C46:D46"/>
    <mergeCell ref="C16:D16"/>
    <mergeCell ref="C60:D60"/>
    <mergeCell ref="C103:D103"/>
    <mergeCell ref="C125:D125"/>
    <mergeCell ref="C109:D109"/>
    <mergeCell ref="C111:D111"/>
    <mergeCell ref="C117:D117"/>
    <mergeCell ref="C119:D119"/>
    <mergeCell ref="C3:D3"/>
    <mergeCell ref="C44:D44"/>
    <mergeCell ref="C52:D52"/>
    <mergeCell ref="C54:D54"/>
    <mergeCell ref="C84:D84"/>
    <mergeCell ref="C65:D65"/>
    <mergeCell ref="C76:D76"/>
    <mergeCell ref="C10:D10"/>
    <mergeCell ref="G87:G92"/>
    <mergeCell ref="A78:E78"/>
    <mergeCell ref="C316:D316"/>
    <mergeCell ref="C318:D318"/>
    <mergeCell ref="G318:G324"/>
    <mergeCell ref="C324:D324"/>
    <mergeCell ref="C204:D204"/>
    <mergeCell ref="C202:D202"/>
    <mergeCell ref="C184:D184"/>
    <mergeCell ref="C220:D220"/>
    <mergeCell ref="G266:G270"/>
    <mergeCell ref="C267:D267"/>
    <mergeCell ref="C270:D270"/>
    <mergeCell ref="C278:D278"/>
    <mergeCell ref="G278:G282"/>
    <mergeCell ref="C282:D282"/>
    <mergeCell ref="C260:D260"/>
    <mergeCell ref="C264:D264"/>
    <mergeCell ref="G272:G276"/>
    <mergeCell ref="C273:D273"/>
    <mergeCell ref="C276:D276"/>
    <mergeCell ref="C261:D261"/>
    <mergeCell ref="C266:D266"/>
    <mergeCell ref="C81:D81"/>
    <mergeCell ref="C284:D284"/>
    <mergeCell ref="C290:D290"/>
    <mergeCell ref="G290:G295"/>
    <mergeCell ref="C295:D295"/>
    <mergeCell ref="C297:D297"/>
    <mergeCell ref="G297:G301"/>
    <mergeCell ref="C301:D301"/>
    <mergeCell ref="C334:D334"/>
    <mergeCell ref="G103:G109"/>
    <mergeCell ref="C252:D252"/>
    <mergeCell ref="G220:G226"/>
    <mergeCell ref="C226:D226"/>
    <mergeCell ref="G228:G234"/>
    <mergeCell ref="G184:G188"/>
    <mergeCell ref="C218:D218"/>
    <mergeCell ref="G196:G202"/>
    <mergeCell ref="G204:G210"/>
    <mergeCell ref="G212:G218"/>
    <mergeCell ref="G190:G194"/>
    <mergeCell ref="C194:D194"/>
    <mergeCell ref="C238:D238"/>
    <mergeCell ref="G237:G241"/>
    <mergeCell ref="G244:G245"/>
    <mergeCell ref="C245:D245"/>
    <mergeCell ref="C310:D310"/>
    <mergeCell ref="G310:G316"/>
    <mergeCell ref="G366:G370"/>
    <mergeCell ref="C367:D367"/>
    <mergeCell ref="C370:D370"/>
    <mergeCell ref="G94:G101"/>
    <mergeCell ref="C326:D326"/>
    <mergeCell ref="G326:G332"/>
    <mergeCell ref="C332:D332"/>
    <mergeCell ref="C272:D272"/>
    <mergeCell ref="C241:D241"/>
    <mergeCell ref="C234:D234"/>
    <mergeCell ref="C344:D344"/>
    <mergeCell ref="C351:D351"/>
    <mergeCell ref="C366:D366"/>
    <mergeCell ref="C255:D255"/>
    <mergeCell ref="G254:G258"/>
    <mergeCell ref="G334:G340"/>
    <mergeCell ref="C340:D340"/>
    <mergeCell ref="G284:G288"/>
    <mergeCell ref="C288:D288"/>
    <mergeCell ref="C303:D303"/>
    <mergeCell ref="G303:G308"/>
    <mergeCell ref="C308:D308"/>
    <mergeCell ref="C386:D386"/>
    <mergeCell ref="C373:D373"/>
    <mergeCell ref="C374:D374"/>
    <mergeCell ref="C375:D375"/>
    <mergeCell ref="C376:D376"/>
    <mergeCell ref="C377:D377"/>
    <mergeCell ref="C343:D343"/>
    <mergeCell ref="G343:G347"/>
    <mergeCell ref="C347:D347"/>
    <mergeCell ref="G357:G363"/>
    <mergeCell ref="C363:D363"/>
    <mergeCell ref="C350:D350"/>
    <mergeCell ref="G350:G354"/>
    <mergeCell ref="C357:D357"/>
    <mergeCell ref="C354:D354"/>
    <mergeCell ref="G373:G377"/>
    <mergeCell ref="G380:G386"/>
    <mergeCell ref="C380:D380"/>
  </mergeCells>
  <phoneticPr fontId="5" type="noConversion"/>
  <conditionalFormatting sqref="C22:D22 C28:D28 C76:D76 C84:D84 C92:D92 C150:D150">
    <cfRule type="containsText" dxfId="14" priority="18" operator="containsText" text="Syarat mutlak tidak terpenuhi">
      <formula>NOT(ISERROR(SEARCH("Syarat mutlak tidak terpenuhi",C22)))</formula>
    </cfRule>
  </conditionalFormatting>
  <conditionalFormatting sqref="C176:D176">
    <cfRule type="containsText" dxfId="13" priority="12" operator="containsText" text="Syarat mutlak tidak terpenuhi">
      <formula>NOT(ISERROR(SEARCH("Syarat mutlak tidak terpenuhi",C176)))</formula>
    </cfRule>
  </conditionalFormatting>
  <conditionalFormatting sqref="C241:D241">
    <cfRule type="containsText" dxfId="12" priority="11" operator="containsText" text="Syarat mutlak tidak terpenuhi">
      <formula>NOT(ISERROR(SEARCH("Syarat mutlak tidak terpenuhi",C241)))</formula>
    </cfRule>
  </conditionalFormatting>
  <conditionalFormatting sqref="C252:D252">
    <cfRule type="containsText" dxfId="11" priority="10" operator="containsText" text="Syarat mutlak tidak terpenuhi">
      <formula>NOT(ISERROR(SEARCH("Syarat mutlak tidak terpenuhi",C252)))</formula>
    </cfRule>
  </conditionalFormatting>
  <conditionalFormatting sqref="C258:D258">
    <cfRule type="containsText" dxfId="10" priority="9" operator="containsText" text="Syarat mutlak tidak terpenuhi">
      <formula>NOT(ISERROR(SEARCH("Syarat mutlak tidak terpenuhi",C258)))</formula>
    </cfRule>
  </conditionalFormatting>
  <conditionalFormatting sqref="C264:D264">
    <cfRule type="containsText" dxfId="9" priority="8" operator="containsText" text="Syarat mutlak tidak terpenuhi">
      <formula>NOT(ISERROR(SEARCH("Syarat mutlak tidak terpenuhi",C264)))</formula>
    </cfRule>
  </conditionalFormatting>
  <conditionalFormatting sqref="C270:D270">
    <cfRule type="containsText" dxfId="8" priority="7" operator="containsText" text="Syarat mutlak tidak terpenuhi">
      <formula>NOT(ISERROR(SEARCH("Syarat mutlak tidak terpenuhi",C270)))</formula>
    </cfRule>
  </conditionalFormatting>
  <conditionalFormatting sqref="C276:D276">
    <cfRule type="containsText" dxfId="7" priority="6" operator="containsText" text="Syarat mutlak tidak terpenuhi">
      <formula>NOT(ISERROR(SEARCH("Syarat mutlak tidak terpenuhi",C276)))</formula>
    </cfRule>
  </conditionalFormatting>
  <conditionalFormatting sqref="C288:D288">
    <cfRule type="containsText" dxfId="6" priority="1" operator="containsText" text="Syarat mutlak tidak terpenuhi">
      <formula>NOT(ISERROR(SEARCH("Syarat mutlak tidak terpenuhi",C288)))</formula>
    </cfRule>
  </conditionalFormatting>
  <conditionalFormatting sqref="C301:D301">
    <cfRule type="containsText" dxfId="5" priority="5" operator="containsText" text="Syarat mutlak tidak terpenuhi">
      <formula>NOT(ISERROR(SEARCH("Syarat mutlak tidak terpenuhi",C301)))</formula>
    </cfRule>
  </conditionalFormatting>
  <conditionalFormatting sqref="C347:D347">
    <cfRule type="containsText" dxfId="4" priority="4" operator="containsText" text="Syarat mutlak tidak terpenuhi">
      <formula>NOT(ISERROR(SEARCH("Syarat mutlak tidak terpenuhi",C347)))</formula>
    </cfRule>
  </conditionalFormatting>
  <conditionalFormatting sqref="C354:D354">
    <cfRule type="containsText" dxfId="3" priority="3" operator="containsText" text="Syarat mutlak tidak terpenuhi">
      <formula>NOT(ISERROR(SEARCH("Syarat mutlak tidak terpenuhi",C354)))</formula>
    </cfRule>
  </conditionalFormatting>
  <conditionalFormatting sqref="C370:D370">
    <cfRule type="containsText" dxfId="2" priority="2" operator="containsText" text="Syarat mutlak tidak terpenuhi">
      <formula>NOT(ISERROR(SEARCH("Syarat mutlak tidak terpenuhi",C370)))</formula>
    </cfRule>
  </conditionalFormatting>
  <dataValidations count="2">
    <dataValidation type="list" allowBlank="1" showInputMessage="1" showErrorMessage="1" sqref="E248:F248 E366 E19" xr:uid="{00000000-0002-0000-0100-000000000000}">
      <formula1>$E$20:$E$21</formula1>
    </dataValidation>
    <dataValidation type="list" allowBlank="1" showInputMessage="1" showErrorMessage="1" sqref="E343 E350 E25" xr:uid="{00000000-0002-0000-0100-000001000000}">
      <formula1>$E$26:$E$27</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F80"/>
  <sheetViews>
    <sheetView topLeftCell="A61" zoomScaleNormal="100" zoomScalePageLayoutView="80" workbookViewId="0">
      <selection activeCell="D6" sqref="D6:E6"/>
    </sheetView>
  </sheetViews>
  <sheetFormatPr defaultColWidth="8.73046875" defaultRowHeight="15.75"/>
  <cols>
    <col min="1" max="1" width="4.265625" style="18" customWidth="1"/>
    <col min="2" max="2" width="7.265625" style="18" customWidth="1"/>
    <col min="3" max="4" width="40.73046875" style="19" customWidth="1"/>
    <col min="5" max="5" width="8.73046875" style="25" customWidth="1"/>
    <col min="6" max="6" width="9" style="17" bestFit="1" customWidth="1"/>
    <col min="7" max="16384" width="8.73046875" style="17"/>
  </cols>
  <sheetData>
    <row r="1" spans="1:6">
      <c r="A1" s="408" t="s">
        <v>392</v>
      </c>
      <c r="B1" s="408"/>
      <c r="C1" s="408"/>
      <c r="D1" s="408"/>
      <c r="E1" s="408"/>
    </row>
    <row r="2" spans="1:6">
      <c r="A2" s="91"/>
      <c r="B2" s="91"/>
      <c r="C2" s="92"/>
      <c r="D2" s="92"/>
      <c r="E2" s="93"/>
    </row>
    <row r="3" spans="1:6">
      <c r="A3" s="409" t="s">
        <v>90</v>
      </c>
      <c r="B3" s="409"/>
      <c r="C3" s="409"/>
      <c r="D3" s="409"/>
      <c r="E3" s="409"/>
    </row>
    <row r="4" spans="1:6">
      <c r="A4" s="94"/>
      <c r="D4" s="20"/>
      <c r="E4" s="21"/>
    </row>
    <row r="5" spans="1:6">
      <c r="A5" s="407" t="s">
        <v>393</v>
      </c>
      <c r="B5" s="407"/>
      <c r="C5" s="407"/>
      <c r="D5" s="410" t="str">
        <f>Menu!H6</f>
        <v>Yayasan Ibnu Atha’illah</v>
      </c>
      <c r="E5" s="410"/>
    </row>
    <row r="6" spans="1:6">
      <c r="A6" s="407" t="s">
        <v>22</v>
      </c>
      <c r="B6" s="407"/>
      <c r="C6" s="407"/>
      <c r="D6" s="410" t="s">
        <v>463</v>
      </c>
      <c r="E6" s="410"/>
    </row>
    <row r="7" spans="1:6">
      <c r="A7" s="407" t="s">
        <v>23</v>
      </c>
      <c r="B7" s="407"/>
      <c r="C7" s="407"/>
      <c r="D7" s="95">
        <f>Menu!H10</f>
        <v>0</v>
      </c>
      <c r="E7" s="33"/>
    </row>
    <row r="8" spans="1:6">
      <c r="A8" s="407" t="s">
        <v>6</v>
      </c>
      <c r="B8" s="407"/>
      <c r="C8" s="407"/>
      <c r="D8" s="134" t="str">
        <f>Menu!F20</f>
        <v>12 Mei 2026</v>
      </c>
      <c r="E8" s="33"/>
    </row>
    <row r="9" spans="1:6" ht="16.149999999999999" thickBot="1">
      <c r="A9" s="22"/>
      <c r="B9" s="22"/>
      <c r="C9" s="20"/>
      <c r="D9" s="20"/>
      <c r="E9" s="21"/>
    </row>
    <row r="10" spans="1:6" ht="31.9" thickBot="1">
      <c r="A10" s="96" t="s">
        <v>7</v>
      </c>
      <c r="B10" s="97" t="s">
        <v>24</v>
      </c>
      <c r="C10" s="97" t="s">
        <v>8</v>
      </c>
      <c r="D10" s="97" t="s">
        <v>388</v>
      </c>
      <c r="E10" s="98" t="s">
        <v>0</v>
      </c>
    </row>
    <row r="11" spans="1:6" ht="236.25">
      <c r="A11" s="99">
        <v>1</v>
      </c>
      <c r="B11" s="100">
        <f>hitung_F1!B4</f>
        <v>1.1000000000000001</v>
      </c>
      <c r="C11" s="101" t="str">
        <f>hitung_F1!C4</f>
        <v>Kejelasan,  kerealistikan, dan keterkaitan antar visi, misi, tujuan dan sasaran perguruan tinggi yang akan didirikan, dan pemangku kepentingan yang terlibat.</v>
      </c>
      <c r="D11" s="101" t="str">
        <f>hitung_F1!G4</f>
        <v>Penyusunan Visi, Misi, Tujuan, dan Sasaran Pendirian Institut Agama Islam (IAI) Guru Kapuh Ibnu Atha’illah (GHIBTA) dilakukan berdasarkan kajian terhadap tantangan serta kebutuhan yang muncul baik dari lingkungan eksternal maupun internal lembaga. Visi IAI: Menjadi Institut Agama Islam Guru Kapuh Ibnu Atha’illah Yang Unggul dalam memadukan keimanan, nilai Qur’an, adab dan keilmuan serta melahirkan generasi yang berdaya guna bagi umat dan berjiwa entrepreneur. Dalam penyusunan sudah melibatkan pihak internal dan eksternal, spt: Pondok Pesantren (Induk/Afiliasi), Pengguna Lulusan (Alumni &amp; Dunia Kerja), Pemerintah (Kemenag, LLDIKTI, Pemda), Masyarakat/Komunitas Lokal, dan Mitra Kerja Sama (Perguruan Tinggi, NGO &amp; Bank Syariah). Secara konseptual sudah ada kelajalasan arah visi yg diharapkan. Visi cukup realitisk karena adanya dukungan SDM dosen tendik yg memadai, ketersedian sarpras pendukung, serta tata kelola kelembagaan yg disiapkan, Konsep Visi memiliki keterkaitan arah dg mimpi atau keinginan Yayasan, yakni melahirkan generasi unggul yg berilmu pengetahuan, berakhlak al-karimah, dan mampu mengadaptasi perkembangan zaman</v>
      </c>
      <c r="E11" s="296">
        <f>hitung_F1!E10</f>
        <v>3</v>
      </c>
      <c r="F11" s="141"/>
    </row>
    <row r="12" spans="1:6" ht="189">
      <c r="A12" s="102">
        <f>A11+1</f>
        <v>2</v>
      </c>
      <c r="B12" s="103">
        <f>hitung_F1!B12</f>
        <v>1.2</v>
      </c>
      <c r="C12" s="104" t="str">
        <f>hitung_F1!C12</f>
        <v>Perguruan tinggi yang akan didirikan menetapkan rancangan tonggak-tonggak capaian tujuan dengan rentang waktu 5 atau 10 tahun ke depan.</v>
      </c>
      <c r="D12" s="104" t="str">
        <f>hitung_F1!G12</f>
        <v xml:space="preserve">Rencana Induk Pengembangan (RIP) IAI Guru Kapuh Ibnu Atha’illah (GHIBTA) 2025–2047 dijelaskan arah pengembangan lembaga menuju visi tahun 2047 dengan uraian sebagai berikut: Pertama, Tahap Forming, Established Institute. tahun 2032 IAI Guru Kapuh Ibnu Atha’illah (GHIBTA) bertransformasi menjadi Institut Agama Islam (IAI) Guru Kapuh Ibnu Atha’illah (GHIBTA). Kedua, Tahap Growing tahun 2032 menuju Universitas yang unggul dalam menghasilkan Ulama, Umaro dan Cendekiawan Muslim Dunia. </v>
      </c>
      <c r="E12" s="295">
        <f>hitung_F1!E16</f>
        <v>3</v>
      </c>
      <c r="F12" s="141"/>
    </row>
    <row r="13" spans="1:6" ht="299.25">
      <c r="A13" s="102">
        <f t="shared" ref="A13:A62" si="0">A12+1</f>
        <v>3</v>
      </c>
      <c r="B13" s="103" t="str">
        <f>hitung_F1!B19</f>
        <v>2.1.1</v>
      </c>
      <c r="C13" s="104" t="str">
        <f>hitung_F1!C19</f>
        <v>Badan penyelenggara (yayasan, persyarikatan, perkumpulan, paguyuban, ormas) memiliki akta notaris tentang pendirian atau perubahan badan penyelenggara tersebut. Persyaratan akta notaris untuk pendirian atau perubahan bentuk perguruan tinggi:
a. Salinan akta notaris telah dilegalisasi (pernyataan sesuai dengan aslinya) oleh notaris dengan ‘cap basah’;
b. Akta notaris tersebut mencantumkan ‘mendirikan perguruan tinggi’ atau istilah lain yang sejenis sebagai tujuan pendirian badan penyelenggara tersebut;
c. Semua akta notaris tentang perubahan badan penyelenggara (jika badan penyelenggara melakukan perubahan badan penyelenggara) yang dapat menunjukkan hubungan antar akta notaris yang runtut.</v>
      </c>
      <c r="D13" s="104" t="str">
        <f>hitung_F1!G19</f>
        <v>Penyelenggara Institut Agama Islam (IAI) Guru Kapuh Ibnu Atha’illah (GIBTHA) adalah Lembaga Pendidikan Yayasan Ibnu Athaillah Indonesia dengan telah terdaftar di Notaris MARIA SEPTIANI SOFIA, SH., M.KN. tercatat SK. MENKEH &amp; HAM RI No AHU-08705.50.10.2014. TANGGAL 06 NOVEMBER 2014</v>
      </c>
      <c r="E13" s="295">
        <f>hitung_F1!E22</f>
        <v>4</v>
      </c>
      <c r="F13" s="141"/>
    </row>
    <row r="14" spans="1:6" ht="378">
      <c r="A14" s="102">
        <f t="shared" si="0"/>
        <v>4</v>
      </c>
      <c r="B14" s="103" t="str">
        <f>hitung_F1!B25</f>
        <v>2.1.2</v>
      </c>
      <c r="C14" s="104" t="str">
        <f>hitung_F1!C25</f>
        <v>Badan penyelenggara telah memiliki:
a. Surat keputusan pejabat berwenang (a.l.: Kemenkumham; Berita Negara) tentang pengesahan badan penyelenggara sebagai badan hukum, yang:
1) mencantumkan Nomor akta notaris pendirian badan penyelenggara yang cocok dengan Nomor akta notaris sebagaimana tercantum dalam Akta Notaris pendirian badan penyelenggara ybs.; dan
2) mencantumkan Nama badan penyelenggara yang cocok dengan Nama badan penyelenggara sebagaimana tercantum dalam akta notaris pendirian badan penyelenggara ybs; 
dan/atau 
b. Surat dari pejabat berwenang (a.l.: Kemenkumham) tentang pencatatan penyesuaian dengan peraturan perundang-undangan atau perubahan susunan pengurus badan penyelenggara.
Salinan dokumen pada huruf a dan huruf b telah dilegalisasi (pernyataan sesuai dengan aslinya) oleh notaris dengan ‘cap basah’.</v>
      </c>
      <c r="D14" s="104" t="str">
        <f>hitung_F1!G25</f>
        <v>Badan Penyelenggara telah memiliki Surat Keputusan Pejabat Berwenang daro Kemenkumham melelui Notaris: MARIA SEPTIANI SOFIA, SH., M.KN.
NOTARIS. PPAT, SK. MENKEH &amp; HAM RI No. AHU-08705.50.10.2014. TANGGAL 06 NOVEMBER 2014 PENGESAHAN PENDIRIAN YAYASAN IBNU ATHA’ILLAH TANGGAL : 06 November 2014. Pada Pasal 3 disebutkan: Yayasan berberak pada bidang Pendidikan meliputi:
Mendirikan Menyelenggarakan lembaga-lembaga pendidikan yang bersifat formal dan nonformal meliputi jenjang pendidikan pra-sekolah sampai tingkat perguruan tinggi atau pascasarjana</v>
      </c>
      <c r="E14" s="295">
        <f>hitung_F1!E28</f>
        <v>4</v>
      </c>
      <c r="F14" s="141"/>
    </row>
    <row r="15" spans="1:6" ht="409.5">
      <c r="A15" s="102">
        <f t="shared" si="0"/>
        <v>5</v>
      </c>
      <c r="B15" s="23" t="str">
        <f>hitung_F1!B30</f>
        <v>2.2.1</v>
      </c>
      <c r="C15" s="104" t="str">
        <f>hitung_F1!C30</f>
        <v>Perguruan Tinggi memiliki rancangan tata pamong yang memungkinkan terlaksananya prinsip-prinsip tata pamong secara konsisten, terutama yang terkait dengan pelaku tata pamong dan sistem pengelolaan yang baik (instrumen, perangkat pendukung, kebijakan dan peraturan, serta kode etik).</v>
      </c>
      <c r="D15" s="105" t="str">
        <f>hitung_F1!G30</f>
        <v>Rancangan tata pamong yang akan diberlakukan Institut Agama Islam (IAI) Guru Kapuh Ibnu Atha’illah (GIBTHA) bertujuan untuk membangun sistem pengelolaan yang kredibel, transparan, akuntabel, bertanggung jawab, dan adil, sesuai dengan prinsip-prinsip good university governance (GUG); indikator yg dapat diuraikan tentang pelaksanaan tata pemong kredibel terlihat dari:  (1) Kredible, terlihat seluruh proses manajerial dan akademik harus didukung oleh basis empiris (evidence-based) dan justifikasi normatif. (2) Transparan, tercerrmin pada eterbukaan informasi publik (misalnya, laporan keuangan, kebijakan SDM, dan kriteria penerimaan) tetapi juga artikulasi yang eksplisit mengenai mekanisme pengambilan keputusan. (3) Akuntable, tercermin adanya kebijakan yang jelas dan keterbukaan terhadap proses pengambilan keputusan. (4) Bertanggung jawab: secara kelembagaan IAI memiliki alur pendistribusian kerja yg sudah memada. Pilar ini bertugas memastikan institusi tetap mematuhi hukum dan bertanggung jawab secara etis. IPT harus berjalan sesuai dengan aturan yang berlaku di negara, serta lebih dari itu, menggabungkan prinsip Tanggung Jawab Sosial Institusi (TSI) atau Corporate Social Responsibility (CSR), dan (5) Adil; tercermin adanya kesetaraan perlakuan dan objektivitas dalam interaksi antara institusi dengan seluruh civitas academica dan mitra. Ini diwujudkan melalui prosedur yang imparsial dalam pengelolaan sumber daya manusia, pengadaan barang/jasa, dan penentuan hak serta kewajiban.</v>
      </c>
      <c r="E15" s="295">
        <f>hitung_F1!E36</f>
        <v>3</v>
      </c>
      <c r="F15" s="141"/>
    </row>
    <row r="16" spans="1:6" ht="204.75">
      <c r="A16" s="102">
        <f t="shared" si="0"/>
        <v>6</v>
      </c>
      <c r="B16" s="23" t="str">
        <f>hitung_F1!B38</f>
        <v>2.2.2</v>
      </c>
      <c r="C16" s="104" t="str">
        <f>hitung_F1!C30</f>
        <v>Perguruan Tinggi memiliki rancangan tata pamong yang memungkinkan terlaksananya prinsip-prinsip tata pamong secara konsisten, terutama yang terkait dengan pelaku tata pamong dan sistem pengelolaan yang baik (instrumen, perangkat pendukung, kebijakan dan peraturan, serta kode etik).</v>
      </c>
      <c r="D16" s="104" t="str">
        <f>hitung_F1!G38</f>
        <v>Terdapat gambaran jelas tentang rancangan struktur organisasi IAI GIBTHA  terdiri dari:  1) Rektor, 2)  Wakil Rektor 123, sebagai Penyusun Kebijakan; 3) Ketua  Prodi dan Sekretaris Prodi sebagai pelaksana akademik; 4) LPM (Lembaga Penjaminan Mutu): sebagai pengawas dan penjamin mutu IAI, 5) Perpustakaan sebagai Penunjang Akademik/ Sumber Belajar, 6) Biro keuangan, Biro administrasi sebagai pelaksana administrasi. Ada penjelasan secara detail tentang jobdescription untuk masing-masing unit tersebut.</v>
      </c>
      <c r="E16" s="295">
        <f>hitung_F1!E44</f>
        <v>3</v>
      </c>
      <c r="F16" s="141"/>
    </row>
    <row r="17" spans="1:6" ht="173.25">
      <c r="A17" s="102">
        <f t="shared" si="0"/>
        <v>7</v>
      </c>
      <c r="B17" s="23" t="str">
        <f>hitung_F1!B46</f>
        <v>2.3.1</v>
      </c>
      <c r="C17" s="104" t="str">
        <f>hitung_F1!C30</f>
        <v>Perguruan Tinggi memiliki rancangan tata pamong yang memungkinkan terlaksananya prinsip-prinsip tata pamong secara konsisten, terutama yang terkait dengan pelaku tata pamong dan sistem pengelolaan yang baik (instrumen, perangkat pendukung, kebijakan dan peraturan, serta kode etik).</v>
      </c>
      <c r="D17" s="104" t="str">
        <f>hitung_F1!G46</f>
        <v>Terdapat penjelasan secara baik dan memadai tentang  IAI GHIBTA  memiliki rancangan dokumen sistem pengelolaan yang mencakup (1) analisis jabatan dari setiap pengelola yg terpangpang dalam struktur organisasi, (2)  uraian tugas lengkap dari setiap unsur yg ada, dan (3) prosedur kerja yg menggambarkan adanya hubungan timbal balik kerja antara satu unit dg unit lainnya, atasan bawahan. Rancangan program pengembangan kompetensi manajerial berupa: Peningkatan kompetensi manajerial dilakukan dengan mengacu kepada SK Yayasan. Program pengembangan meliputi kegiatan berikut: 1) Program Peningkatan Kompetensi manajerial Pimpinan; khusus untuk peningkatan kompetensi diberikan kepada unsur pimpinan untuk semua unit kerja di lingkungan IAI; 2) Peningkatan manajemen sumber daya manusia, 3) Peningkatan manajemen keuangan, dan 4) Peningkatan manajemen sarana prasarana.</v>
      </c>
      <c r="E17" s="295">
        <f>hitung_F1!E52</f>
        <v>3</v>
      </c>
      <c r="F17" s="141"/>
    </row>
    <row r="18" spans="1:6" ht="78.75">
      <c r="A18" s="102">
        <f t="shared" si="0"/>
        <v>8</v>
      </c>
      <c r="B18" s="23" t="str">
        <f>hitung_F1!B54</f>
        <v>2.3.2</v>
      </c>
      <c r="C18" s="106" t="str">
        <f>hitung_F1!C54</f>
        <v>Rancangan diseminasi/laporan hasil kerja perguruan tinggi secara berkala sebagai wujud akuntabilitas publik.</v>
      </c>
      <c r="D18" s="104" t="str">
        <f>hitung_F1!G54</f>
        <v>Rancangan desiminasi/laporan hasil kerja PT secara berkala dirancang secara baik sebagai bukti pertanggungjawaban lembaga terhadap publik, merujuk pada: Standar Nasional Pendidikan Tinggi (SN-Dikti): Diseminasi merupakan bagian dari siklus Penetapan, Pelaksanaan, Evaluasi, Pengendalian, dan Peningkatan (PPEPP) dalam Sistem Penjaminan Mutu Internal (SPMI) perguruan tinggi, dan Peraturan Badan Akreditasi Nasional Perguruan Tinggi (BAN-PT).  Dokumen laporan desiminasi antara lain: 1) Menyajikan bukti otentik kepada pemangku kepentingan (internal dan eksternal) bahwa penyelenggaraan pendidikan telah memenuhi standar mutu nasional dan internasional. 2)  Evaluasi Kinerja: Mengidentifikasi kekuatan dan kelemahan institusi dengan membandingkan hasil aktual terhadap target Rencana Operasional (Renop) 2026– 2031, yang diukur melalui empat kategori indikator: Masukan, Proses, Keluaran, dan Danpak. 3) Berbasis IKU dan 9 Program Strategis sebagai landasan untuk perumusan kebijakan dan perbaikan mutu berkelanjutan.</v>
      </c>
      <c r="E18" s="295">
        <f>hitung_F1!E60</f>
        <v>3</v>
      </c>
      <c r="F18" s="141"/>
    </row>
    <row r="19" spans="1:6" ht="63">
      <c r="A19" s="102">
        <f t="shared" si="0"/>
        <v>9</v>
      </c>
      <c r="B19" s="23" t="str">
        <f>hitung_F1!B65</f>
        <v>2.4.1.1</v>
      </c>
      <c r="C19" s="104" t="str">
        <f>hitung_F1!C65</f>
        <v>Jumlah program studi pada perguruan tinggi baru.</v>
      </c>
      <c r="D19" s="104" t="str">
        <f>hitung_F1!G65</f>
        <v>Terdapat 4 PS yang diusulkan untuk menyertai usulan IAI GHIBTA Kalsel. yakni: 1) Program Studi Pendidikan Bahasa Arab (PBA), 2) Program Studi Manajemen Pendidikan Islam (MPI), 3) Program Studi Pendidikan Agama Islam (PAI), dan 4) Program Studi Ekonomi Syariah (ES).</v>
      </c>
      <c r="E19" s="295">
        <f>hitung_F1!E76</f>
        <v>4</v>
      </c>
      <c r="F19" s="141"/>
    </row>
    <row r="20" spans="1:6" ht="78.75">
      <c r="A20" s="102">
        <f t="shared" si="0"/>
        <v>10</v>
      </c>
      <c r="B20" s="23" t="str">
        <f>hitung_F1!B79</f>
        <v>2.4.1.2</v>
      </c>
      <c r="C20" s="104" t="str">
        <f>hitung_F1!C79</f>
        <v>Jumlah usulan program studi berdasarkan kelompok ilmu.</v>
      </c>
      <c r="D20" s="104" t="str">
        <f>hitung_F1!G79</f>
        <v xml:space="preserve">Terdapat NPS_B = Jumlah program studi dari rumpun ilmu agama: 4 PS, yakni:1) Program Studi Pendidikan Bahasa Arab (PBA), 2) Program Studi Manajemen Pendidikan Islam (MPI), 3) Program Studi Pendidikan Agama Islam (PAI), dan 4) Program Studi Ekonomi Syariah (ES).
</v>
      </c>
      <c r="E20" s="295">
        <f>hitung_F1!E84</f>
        <v>4</v>
      </c>
      <c r="F20" s="141"/>
    </row>
    <row r="21" spans="1:6" ht="47.25">
      <c r="A21" s="102">
        <f t="shared" si="0"/>
        <v>11</v>
      </c>
      <c r="B21" s="23" t="str">
        <f>hitung_F1!B87</f>
        <v>2.4.1.3</v>
      </c>
      <c r="C21" s="104" t="str">
        <f>hitung_F1!C87</f>
        <v>Rasio Program Diploma terhadap Program Sarjana pada Universitas, Institut dan Sekolah Tinggi.</v>
      </c>
      <c r="D21" s="104" t="str">
        <f>hitung_F1!G87</f>
        <v>Terdapat NPS_B = Jumlah program studi dari rumpun ilmu agama: 4 PS, yakni: 1) Program Studi Pendidikan Bahasa Arab (PBA), 2) Program Studi Manajemen Pendidikan Islam (MPI), 3) Program Studi Pendidikan Agama Islam (PAI), dan 4) Program Studi Ekonomi Syariah (ES).</v>
      </c>
      <c r="E21" s="295">
        <f>hitung_F1!E92</f>
        <v>4</v>
      </c>
      <c r="F21" s="141"/>
    </row>
    <row r="22" spans="1:6" ht="78.75">
      <c r="A22" s="102">
        <f t="shared" si="0"/>
        <v>12</v>
      </c>
      <c r="B22" s="103" t="str">
        <f>hitung_F1!B94</f>
        <v>2.4.2</v>
      </c>
      <c r="C22" s="106" t="str">
        <f>hitung_F1!C94</f>
        <v>Akreditasi Program Studi</v>
      </c>
      <c r="D22" s="104" t="str">
        <f>hitung_F1!G94</f>
        <v>Terdapat NM = NPS_ijinbaru = Jumlah program studi baru yang terakreditasi minimum (berdasarkan hasil penilaian akreditasi program studi baru):  4 PS, yakni 1) Program Studi Pendidikan Bahasa Arab (PBA), 2) Program Studi Manajemen Pendidikan Islam (MPI), 3) Program Studi Pendidikan Agama Islam (PAI), dan 4) Program Studi Ekonomi Syariah (ES).</v>
      </c>
      <c r="E22" s="295">
        <f>hitung_F1!E101</f>
        <v>2</v>
      </c>
      <c r="F22" s="141"/>
    </row>
    <row r="23" spans="1:6" ht="409.5">
      <c r="A23" s="102">
        <f t="shared" si="0"/>
        <v>13</v>
      </c>
      <c r="B23" s="103">
        <f>hitung_F1!B103</f>
        <v>2.5</v>
      </c>
      <c r="C23" s="106" t="str">
        <f>hitung_F1!C103</f>
        <v xml:space="preserve">Perguruan Tinggi memiliki rancangan dokumen penjaminan mutu yang terdiri dari: (1) rancangan dokumen kebijakan mutu, (2) rancangan dokumen manual mutu, (3) rancangan dokumen standar, dan (4) rancangan dokumen formulir, yang isinya mencakup keberadaan 6 elemen sistem penjaminan mutu sebagai berikut: (1) kebijakan dan standar, (2) organisasi, (3) instrumen (manual mutu, manual prosedur, instruksi kerja), (4) implementasi, (5) monitoring dan evaluasi, dan (6) pelaporan dan tindak lanjut. </v>
      </c>
      <c r="D23" s="104" t="str">
        <f>hitung_F1!G103</f>
        <v>IAI GHIBTA sudah memiliki rancangan Sistem Monitoring dan Evaluasi (Monev) Berbasis unggul dalam menyatukan serta memadukan keimanan, Qur’an dan adab serta keilmuan. Sistem Monev ini dirancang dalam kerangka Sistem Penjaminan Mutu Internal (SPMI) Institut Agama Islam Guru Kapuh Ibnu Atha’illah (IAI GIBTHA) dengan siklus Penetapan, Pelaksanaan, Evaluasi (Monev), Pengendalian, dan Peningkatan (PPEPP) yang dilaksanakan secara konsisten oleh PPM. MASIH PERLU DIBUAT RNCANGAN DOKUMEN KEBIJAKAN MUTU,MANUAL MUTU, STANDAR MUTU, SOP, FORMULIR MUTU, dan IMPLEMENTASI PPEPP .</v>
      </c>
      <c r="E23" s="295">
        <f>hitung_F1!E109</f>
        <v>3</v>
      </c>
      <c r="F23" s="141"/>
    </row>
    <row r="24" spans="1:6" ht="252">
      <c r="A24" s="102">
        <f t="shared" si="0"/>
        <v>14</v>
      </c>
      <c r="B24" s="103">
        <f>hitung_F1!B111</f>
        <v>2.6</v>
      </c>
      <c r="C24" s="106" t="str">
        <f>hitung_F1!C111</f>
        <v>Perguruan tinggi memiliki rancangan kebijakan dan pedoman kerjasama yang menjamin tercapainya aspek: (1) mutu, (2) relevansi, (3) produktifitas, dan (4) kepuasan para pihak.</v>
      </c>
      <c r="D24" s="104" t="str">
        <f>hitung_F1!G111</f>
        <v>IAI GIBTHA memiliki rancangan kebijakan dan pedoman kerjasama sebagaimana tertuang dalam Surat Keputusan Rektor IAI mengenai Pedoman Kerja Sama Dalam Negeri. Pedoman ini mencakup empat tahap utama, yaitu perintisan kerja sama, pengesahan, pelaksanaan, serta monitoring dan evaluasi. Dokumen pedoman ini berfungsi memastikan mutu pelaksanaan kerja sama, kesesuaian kegiatan dengan bidang keahlian perguruan tinggi dan mitra, serta produktivitas sehingga kerja sama dapat berjalan secara berkelanjutan.</v>
      </c>
      <c r="E24" s="295">
        <f>hitung_F1!E117</f>
        <v>4</v>
      </c>
      <c r="F24" s="141"/>
    </row>
    <row r="25" spans="1:6" ht="189">
      <c r="A25" s="102">
        <f t="shared" si="0"/>
        <v>15</v>
      </c>
      <c r="B25" s="103">
        <f>hitung_F1!B119</f>
        <v>3.1</v>
      </c>
      <c r="C25" s="106" t="str">
        <f>hitung_F1!C119</f>
        <v>Perguruan tinggi memiliki pedoman seleksi dan rekrutmen mahasiswa baru yang meliputi unsur : (1) kebijakan, (2) kriteria, (3) prosedur, dan (4) mekanisme pengambilan keputusan.</v>
      </c>
      <c r="D25" s="104" t="str">
        <f>hitung_F1!G119</f>
        <v>IAI GIBTHA memiliki kebijakan tentang penerimaan mahasiwa baru yg tertuang dalam Keputusan Ketua IAI Guru Kapuh Ibnu Atha’illah (GIBTHA) tentang SOP Akademik, di dalamnya berisi tentang: (1) kebijakan, ada aturan nasional dan Statuta dan Pedoman Akademik;  (2) kriteria, Kriteria seleksi mahasiswa baru, dari kriteria umum, akademik, dan non-akademik.  (3) prosedur, mulai dari pendaftaran, tes, dan penetapan lulusan dijelaskan secara detail; dan (4) mekanisme pengambilan keputusan, dijelaskan secara detail. Seleksi mahasiswa dilakukan secara internal, rekrutmen calon mahasiswa IAI Guru Kapuh Ibnu Atha’illah (GIBTHA) juga dibuka bagi masyarakat umum. (Cek kembali bukti formal dokumen yg dimiliki)</v>
      </c>
      <c r="E25" s="295">
        <f>hitung_F1!E109</f>
        <v>3</v>
      </c>
      <c r="F25" s="141"/>
    </row>
    <row r="26" spans="1:6" ht="204.75">
      <c r="A26" s="102">
        <f t="shared" si="0"/>
        <v>16</v>
      </c>
      <c r="B26" s="103">
        <f>hitung_F1!B127</f>
        <v>3.2</v>
      </c>
      <c r="C26" s="106" t="str">
        <f>hitung_F1!C127</f>
        <v>Perguruan tinggi memiliki kebijakan penerimaan mahasiswa baru yang memberikan peluang kepada calon mahasiswa yang memiliki potensi akademik baik namun kurang mampu secara ekonomi dan/atau cacat fisik yang ditunjang oleh rencana penyediaan fasilitas penunjang.</v>
      </c>
      <c r="D26" s="104" t="str">
        <f>hitung_F1!G127</f>
        <v>IAI GIBTHA memiliki rancangan aturan tentang aturan pemberian firmasi yg diberikan pada calon mahasiswa baru. Dalam upaya mewujudkan keadilan dan pemerataan akses pendidikan tinggi, IAI berkomitmen untuk memberikan kesempatan belajar yang seluas-luasnya bagi seluruh lapisan masyarakat, baik dari kalangan mampu maupun kurang mampu. Untuk menopang kebijakan afirmasi mahasiswa, IAI GIBTHA  menyiapkan skema beasiswa KIP Kuliah, IAI juga menyediakan bantuan beasiswa bagi mahasiswa berprestasi maupun mahasiswa dari keluarga kurang mampu melalui kerja sama dengan lembaga sosial milik Yayasan Ibnu Atha’illah.</v>
      </c>
      <c r="E26" s="295">
        <f>hitung_F1!E133</f>
        <v>4</v>
      </c>
      <c r="F26" s="141"/>
    </row>
    <row r="27" spans="1:6" ht="236.25">
      <c r="A27" s="102">
        <f t="shared" si="0"/>
        <v>17</v>
      </c>
      <c r="B27" s="103" t="str">
        <f>hitung_F1!B135</f>
        <v>4.1</v>
      </c>
      <c r="C27" s="106" t="str">
        <f>hitung_F1!C135</f>
        <v>Rancangan sistem pengelolaan sumber daya manusia dilaksanakan berdasarkan prinsip meritokrasi yang mencakup aspek:
(1) perencanaan, (2) rekrutmen dan seleksi, (3) orientasi dan penempatan pegawai, (4) pengembangan karir dan retensi, (5) remunerasi, penghargaan dan sanksi, dan (6) pensiun dan pemutusan kerja.</v>
      </c>
      <c r="D27" s="104" t="str">
        <f>hitung_F1!G135</f>
        <v xml:space="preserve">IAI GIBTHA memiliki rancangan tentang sistem pengelolaan sumber daya manusia dilaksanakan berdasarkan prinsip berdasarkan pada Surat Keputusan Ketua Yayasan Ibnu Atha’illah; Surat Keputusan Ketua Institut Agama Islam Guru Kapuh Ibnu Atha’illah
(IAI GIBTHA); dan Surat Keputusan Ketua mengenai pedoman pengelolaan SDM Institut Agama
Islam Guru Kapuh Ibnu Atha’illah (IAI GIBTHA);. Sistem seleksi/rekrutment, penempatan, pengembangan, retensi, dan pemberhentian dosen dan tenaga kependidikan tercantum pada buku Rancangan Statuta tentang system pengelolaan sumber daya manusia, dan telah dilaksanakan secara konsisten.  </v>
      </c>
      <c r="E27" s="295">
        <f>hitung_F1!E141</f>
        <v>3</v>
      </c>
      <c r="F27" s="141"/>
    </row>
    <row r="28" spans="1:6" ht="173.25">
      <c r="A28" s="102">
        <f t="shared" si="0"/>
        <v>18</v>
      </c>
      <c r="B28" s="103" t="str">
        <f>hitung_F1!B144</f>
        <v>4.2.1</v>
      </c>
      <c r="C28" s="106" t="str">
        <f>hitung_F1!C144</f>
        <v>Jumlah calon dosen tetap minimal</v>
      </c>
      <c r="D28" s="104" t="str">
        <f>hitung_F1!G144</f>
        <v>Terdapat NDTPS_ijinbaru = Jumlah dosen tetap pada program studi baru yang terakreditasi minimum: ada 25 orang yg disiapkan untuk 5 prodi yg diuusulkan, yakni: (1) PS Pendidikan Bahasa Arab (PBA)  an. Nurul Amini, M.Pd (S2 Pendidikan Bahasa Arab UII DALWA), Nafisah, M.Pd (S2 Pendidikan Bahasa Arab UII DALWA), Fathia Qonita, M.Pd (S2 Pendidikan Bahasa Arab UII DALWA), Nurul Jannah, M.Pd (S2 Pendidikan Bahasa Arab UII DALWA), Fahrunnisa, M.Pd  (S2 Pendidikan Bahasa Arab UII DALWA) . (2) PS Manajemen Pendidikan Islam an. Dr. Afifafh (S2 Manajemen Pendidikan Islam), Nurwahda Maghfiroh (S2 Manajemen Pendidikan), Sufi Hadi (S2 Manajemen Pendidikan Islam), Tasiah (S2 Manajemen Pendidikan Islam), Nurul Amini (S2.....), Nurul Jannah (S2 ......), Fachri Zulmi (S2 Ekonomi Syariah). 3) PS Ekonomi Syariah (ES), an. Dr. Ir. Syahrial Shaddiq, S.T., M.Eng., M.M., M.Si (S3 Ilmu Ekonomi UII), Dr. Fathurrahman, S. Ag, M. H (S3 Doktoral Ilmu Syariah UIN Antasari), Fachri Zulmi, S. E. I, M. H (S2 Ekonomi Sriah UIN Antasari), Sri Rozana Widya Astuty, S. E, M. E (S2 lmu Ekonomi UNLAM), Halidah. S. E, M. Pd (S2 Manajemen Pendidikan UII Dalwa). 4) PS Pendidikan Agama Islam (PAI), an. DR. Ahmad Suryadi, M. Pd. (S3 Dirasah Islamiyah Konsentras i Pendidikan dan Keguruan UIN Alauddin Makassar), Miftahul Ihsan, M. Pd. (S2 UIN Sunan Kalijaga Yogyakarta), Raudatul Jannah, M. Pd (S2 PAI UIN Antasari), Muhammad Hamdani, M. Pd (S2 PAI UIN Malang), Muhammad Ikhsan, S.Pd, M. Pd (S2 PAI UIN Antasari Banjarmasin).  Semua dosen yg diusulkan berstatus sebagai Dosen Tetap dan memiliki linearitas keilmuan dg program studi yg diusulkan.</v>
      </c>
      <c r="E28" s="295">
        <f>hitung_F1!E150</f>
        <v>4</v>
      </c>
      <c r="F28" s="141"/>
    </row>
    <row r="29" spans="1:6" ht="94.5">
      <c r="A29" s="102">
        <f t="shared" si="0"/>
        <v>19</v>
      </c>
      <c r="B29" s="103" t="str">
        <f>hitung_F1!B152</f>
        <v>4.2.2</v>
      </c>
      <c r="C29" s="106" t="str">
        <f>hitung_F1!C152</f>
        <v>Jumlah calon dosen tetap</v>
      </c>
      <c r="D29" s="104" t="str">
        <f>hitung_F1!G152</f>
        <v>Terdapat sejumlah calon dosen tetap: 24 orang, sudah memadai dihitung dari rasio 4 PS; dilihat kualifikasi penidididikan, semua sudah S2 (Magister) dengan backgroun keilmuan yang relevan dg prodi yg diusulkan.</v>
      </c>
      <c r="E29" s="295">
        <f>hitung_F1!E153</f>
        <v>4</v>
      </c>
      <c r="F29" s="141"/>
    </row>
    <row r="30" spans="1:6" ht="78.75">
      <c r="A30" s="102">
        <f t="shared" si="0"/>
        <v>20</v>
      </c>
      <c r="B30" s="103" t="str">
        <f>hitung_F1!B156</f>
        <v>4.2.3</v>
      </c>
      <c r="C30" s="106" t="str">
        <f>hitung_F1!C156</f>
        <v xml:space="preserve">Profil dosen yang diukur berdasarkan kualifikasi akademik dan kesesuaian bidang keahlian dengan kompetensi program studi.
</v>
      </c>
      <c r="D30" s="104" t="str">
        <f>hitung_F1!G156</f>
        <v>Dari 24 Calon DTPS yang diusulkan, ada 4 orang dosen yang berkualifikasi pendidikan Doktor (S3).</v>
      </c>
      <c r="E30" s="295">
        <f>hitung_F1!E162</f>
        <v>4</v>
      </c>
      <c r="F30" s="141"/>
    </row>
    <row r="31" spans="1:6" ht="189">
      <c r="A31" s="102">
        <f t="shared" si="0"/>
        <v>21</v>
      </c>
      <c r="B31" s="103">
        <f>hitung_F1!B164</f>
        <v>4.3</v>
      </c>
      <c r="C31" s="106" t="str">
        <f>hitung_F1!C164</f>
        <v>Perencanaan pengembangan SDM dosen</v>
      </c>
      <c r="D31" s="104" t="str">
        <f>hitung_F1!G164</f>
        <v>Ada keterangan IAI GIBTHA memiliki perencanaan pengembangan SDM Dosen meliputi: (1) Pengembangan dan Pembinaan Karir; Dalam pengembangan sumber daya manusia (dosen) mengacu pada tri dharma perguruan tinggi yaitu: Untuk studi lanjut S3 semua pengajar diberi kesempatan baik dengan biaya dari internal IAI maupun dari luar IAI sesuai dengan peraturan yang berlaku. Dalam 10 Tahun akan memberikan kesempatan pada dosen untuk kuliah S3 tiap Tahun 3-5 Dosen, sehingga dalam 10 di targetkan 60% Dosen sudah Kuliah S3. (2) Pengembangan kompetensi khusus; meliputi pembinaan intern dan ekstern melalui pimpinan prodi antara lain secara selektif dengan mempercayakan kepada dosen untuk mengkoordinir berbagai kegiatan ekstra prodi.</v>
      </c>
      <c r="E31" s="295">
        <f>hitung_F1!E170</f>
        <v>3</v>
      </c>
      <c r="F31" s="141"/>
    </row>
    <row r="32" spans="1:6" ht="94.5">
      <c r="A32" s="102">
        <f t="shared" si="0"/>
        <v>22</v>
      </c>
      <c r="B32" s="103" t="str">
        <f>hitung_F1!B172</f>
        <v>4.4.1</v>
      </c>
      <c r="C32" s="106" t="str">
        <f>hitung_F1!C172</f>
        <v>Jumlah tenaga kependidikan minimal</v>
      </c>
      <c r="D32" s="104" t="str">
        <f>hitung_F1!G172</f>
        <v>Terdapat NTK = Jumlah tenaga kependidikan IAI GIBTHA  ada  5 orang untuk melayani 4 PS, keberadaan tendik masih minim; pemenuhan tendik mestinya disesuaikan dg kebutuhan sebagai: Pustakawaan, Laboran, Oprartor, dan Teknisi</v>
      </c>
      <c r="E32" s="295">
        <f>hitung_F1!E176</f>
        <v>4</v>
      </c>
      <c r="F32" s="141"/>
    </row>
    <row r="33" spans="1:6" ht="63">
      <c r="A33" s="102">
        <f t="shared" si="0"/>
        <v>23</v>
      </c>
      <c r="B33" s="103" t="str">
        <f>hitung_F1!B178</f>
        <v>4.4.2</v>
      </c>
      <c r="C33" s="106" t="str">
        <f>hitung_F1!C178</f>
        <v>Tenaga Administrasi</v>
      </c>
      <c r="D33" s="104" t="str">
        <f>hitung_F1!G178</f>
        <v xml:space="preserve">Terdapat A = Jumlah tenaga administrasi berkualifikasi minimum S-1: 5, semua lulusan S1 (sarjana); untuk melayani 4 PS </v>
      </c>
      <c r="E33" s="295">
        <f>hitung_F1!E182</f>
        <v>4</v>
      </c>
      <c r="F33" s="141"/>
    </row>
    <row r="34" spans="1:6" ht="63">
      <c r="A34" s="102">
        <f t="shared" si="0"/>
        <v>24</v>
      </c>
      <c r="B34" s="103" t="str">
        <f>hitung_F1!B184</f>
        <v>4.4.3</v>
      </c>
      <c r="C34" s="106" t="str">
        <f>hitung_F1!C184</f>
        <v>Tenaga Laboran/ Teknisi</v>
      </c>
      <c r="D34" s="104" t="str">
        <f>hitung_F1!G184</f>
        <v xml:space="preserve">Terdapat L = Jumlah tenaga laboran/ teknisi berkualifikasi S1/SMA: 3 orang untuk 4 PS yang diusulkan </v>
      </c>
      <c r="E34" s="295">
        <f>hitung_F1!E188</f>
        <v>1.1111111111111112</v>
      </c>
      <c r="F34" s="141"/>
    </row>
    <row r="35" spans="1:6" ht="47.25">
      <c r="A35" s="102">
        <f t="shared" si="0"/>
        <v>25</v>
      </c>
      <c r="B35" s="103" t="str">
        <f>hitung_F1!B190</f>
        <v>4.4.4</v>
      </c>
      <c r="C35" s="106" t="str">
        <f>hitung_F1!C190</f>
        <v>Tenaga Perpustakaan</v>
      </c>
      <c r="D35" s="104" t="str">
        <f>hitung_F1!G190</f>
        <v>Terdapat A = Jumlah tenaga perpustakaan berkualifikasi minimum S-2:  0 orang tenaga perpustakaan.  KURANG TERDESKRIPSIKAN</v>
      </c>
      <c r="E35" s="295">
        <f>hitung_F1!E194</f>
        <v>2.8</v>
      </c>
      <c r="F35" s="141"/>
    </row>
    <row r="36" spans="1:6" ht="220.5">
      <c r="A36" s="102">
        <f t="shared" si="0"/>
        <v>26</v>
      </c>
      <c r="B36" s="103">
        <f>hitung_F1!B196</f>
        <v>5.0999999999999996</v>
      </c>
      <c r="C36" s="106" t="str">
        <f>hitung_F1!C196</f>
        <v>Perguruan tinggi memiliki kebijakan dan pedoman akademik yang terkait dengan standar pendidikan, yang mencakup elemen: (1) kompetensi lulusan, (2) isi pembelajaran, (3) proses pembelajaran, (4) penilaian pembelajaran, (5) dosen dan tenaga kependidikan, (6) sarana dan prasarana pembelajaran, (7) pengelolaan pembelajaran, dan (8) pembiayaan pembelajaran.</v>
      </c>
      <c r="D36" s="104" t="str">
        <f>hitung_F1!G196</f>
        <v>Sudah ada penjelasan normatif tentang  penjelasan tentang rancangan Kebijakan dan pedoman akademik IAI GIBTHA mencakup semua elemen standar pendidikan yang dirumuskan secara lengkap dengan substansi baik, seperti: (1) kompetensi lulusan, (2) isi pembelajaran, (3) proses pembelajaran, (4) penilaian pembelajaran, (5) dosen dan tenaga kependidikan, (6) sarana dan prasarana pembelajaran, (7) pengelolaan pembelajaran, dan (8) pembiayaan pembelajaran. Penjelasannya masih normatif, karena memang belum dilaksanakan. (cek kembali saat visitasi)</v>
      </c>
      <c r="E36" s="295">
        <f>hitung_F1!E202</f>
        <v>2.5</v>
      </c>
      <c r="F36" s="141"/>
    </row>
    <row r="37" spans="1:6" ht="110.25">
      <c r="A37" s="102">
        <f t="shared" si="0"/>
        <v>27</v>
      </c>
      <c r="B37" s="103">
        <f>hitung_F1!B204</f>
        <v>5.2</v>
      </c>
      <c r="C37" s="106" t="str">
        <f>hitung_F1!C204</f>
        <v>Perguruan tinggi memiliki kebijakan, pedoman dan unit kerja yang memfasilitasi/ mengkoordinasi kegiatan perencanaan, pengembangan, dan pemutakhiran kurikulum secara berkala dan berkesinambungan, beserta rencana mekanisme monitoring dan evaluasinya.</v>
      </c>
      <c r="D37" s="104" t="str">
        <f>hitung_F1!G204</f>
        <v xml:space="preserve">Kebijakan IAI GIBTHA dalam pengembangan kurikulum didasarkan pada STATUTA dan Panduan Akademik IAI berdasarkan SK Nomor :............... harus mendukung terhadap pengembangan Kurikulum tingkat perguruan tinggi. Didalamnya ada penjelasan tentang rancangan: (1) kebijakan, (2) pedoman pengembangan kurikulum, dan (3) unit kerja/ fungsi organisasi yang memfasilitasi program studi untuk melakukan kegiatan  pengembangan kurikulum.  </v>
      </c>
      <c r="E37" s="295">
        <f>hitung_F1!E210</f>
        <v>2.5</v>
      </c>
      <c r="F37" s="141"/>
    </row>
    <row r="38" spans="1:6" ht="157.5">
      <c r="A38" s="102">
        <f t="shared" si="0"/>
        <v>28</v>
      </c>
      <c r="B38" s="103">
        <f>hitung_F1!B212</f>
        <v>5.3</v>
      </c>
      <c r="C38" s="106" t="str">
        <f>hitung_F1!C212</f>
        <v>Perguruan tinggi memiliki peraturan yang mengatur tentang suasana akademik, yang mencakup unsur: (1) kebebasan akademik, (2) kebebasan mimbar akademik, dan (3) otonomi keilmuan.</v>
      </c>
      <c r="D38" s="104" t="str">
        <f>hitung_F1!G212</f>
        <v xml:space="preserve">IAI GIBTHAmelaksanakan kebebasan akademik, kebebasan mimbar akademik, dan otonomi keilmuan melalui pengaturan atas jaminan pengakuan, penghormatan, dan pemenuhan hal itu secara eksplisit tertuang dalam SK ......... di dalamnya  memuat Kebijakan Akademik STAI, Peraturan Akademik  bidang Pendidikan, Penelitian, dan Pengabdian kepada Masyarakat, Standar Akademik, dan Renstra, didalamnya mengatur ketiga unsur suasana akademik yang dinyatakan secara jelas yang mencakup unsur: (1) kebebasan akademik, (2) kebebasan mimbar akademik, dan (3) otonomi keilmuan. Walaupun penjelasannya normatif. Masing-masing dijelaskan cukup memadai, dengan data cukup. </v>
      </c>
      <c r="E38" s="295">
        <f>hitung_F1!E218</f>
        <v>2.5</v>
      </c>
      <c r="F38" s="141"/>
    </row>
    <row r="39" spans="1:6" ht="189">
      <c r="A39" s="102">
        <f t="shared" si="0"/>
        <v>29</v>
      </c>
      <c r="B39" s="103">
        <f>hitung_F1!B220</f>
        <v>6.1</v>
      </c>
      <c r="C39" s="106" t="str">
        <f>hitung_F1!C220</f>
        <v xml:space="preserve">Perguruan tinggi memiliki kebijakan yang berkaitan dengan standar penelitian, yang mencakup: (1) hasil penelitian; (2) isi penelitian; (3) proses penelitian; (4) penilaian penelitian; (5) peneliti; (6) sarana dan prasarana penelitian; (7) pengelolaan penelitian; dan (8) pendanaan dan pembiayaan penelitian. </v>
      </c>
      <c r="D39" s="104" t="str">
        <f>hitung_F1!G220</f>
        <v>Ada penjelasan normatif  IAI GIBTHA memiliki rancangan kebijakan penelitian berupa berdasarkan Buku Panduan Penelitian IAI  yang dikuatkan dengan SK Ketua tentang penelitian  yang mencakup semua elemen standar penelitian yang dirumuskan secara lengkap dengan substansi baik.  Lembaga sudah memeiliki konsep aturanmeliputi:  Rencana Induk Penelitian (RIP) dan Rencana Strategis (Renstra) Pengabdian Kepada Masyarakat, Pedoman Pelaksanaan Penelitian Dan Pengabdian Kepada Masyarakat, Penetapan Roadmap Penelitian dan Pengabdian, dan Pembentukan Kelompok Riset (cek kembali saat visitasi)</v>
      </c>
      <c r="E39" s="295">
        <f>hitung_F1!E226</f>
        <v>2</v>
      </c>
      <c r="F39" s="141"/>
    </row>
    <row r="40" spans="1:6" ht="189">
      <c r="A40" s="102">
        <f t="shared" si="0"/>
        <v>30</v>
      </c>
      <c r="B40" s="103">
        <f>hitung_F1!B228</f>
        <v>7.1</v>
      </c>
      <c r="C40" s="106" t="str">
        <f>hitung_F1!C228</f>
        <v>Perguruan tinggi memiliki kebijakan PkM yang berkaitan dengan standar pengabdian kepada masyarakat, yang mencakup: (1) hasil PkM; (2) isi PkM; (3) proses PkM; (4) penilaian PkM; (5) pelaksana PkM; (6) sarana dan prasarana PkM; (7) pengelolaan PkM; dan (8) pendanaan dan pembiayaan PkM.</v>
      </c>
      <c r="D40" s="104" t="str">
        <f>hitung_F1!G228</f>
        <v xml:space="preserve">IAI GIBTHA yang diusulkan yang memiliki rancangan kebijakan PkM berupa buku panduan pengabdian SK .......... tentang PkM yang mencakup semua elemen standar PkM yang dirumuskan secara  cukup baik. Lembaga sudah memeiliki konsep aturanmeliputi:  Rencana Induk Penelitian (RIP) dan Rencana Strategis (Renstra) Pengabdian Kepada Masyarakat, Pedoman Pelaksanaan Penelitian Dan Pengabdian Kepada Masyarakat, Penetapan Roadmap Penelitian dan Pengabdian, dan Pembentukan Kelompok Riset.  </v>
      </c>
      <c r="E40" s="295">
        <f>hitung_F1!E234</f>
        <v>2</v>
      </c>
      <c r="F40" s="141"/>
    </row>
    <row r="41" spans="1:6" ht="78.75">
      <c r="A41" s="102">
        <f t="shared" si="0"/>
        <v>31</v>
      </c>
      <c r="B41" s="103" t="str">
        <f>hitung_F1!B237</f>
        <v>8.1.1</v>
      </c>
      <c r="C41" s="106" t="str">
        <f>hitung_F1!C237</f>
        <v>Luas lahan kampus minimal</v>
      </c>
      <c r="D41" s="104" t="str">
        <f>hitung_F1!G237</f>
        <v>Lahan kampus yg dimimilki IAI GIBTHA  = 22142 m2, beralamat:  Desa Wasah Tengah, RT 004 RW 002, Kecamatan Simpur, Kabupaten Hulu Sungai Selatan, Provinsi Kalimantan Selatan, status MILIK SENDIRI dan BELUM BERSERTIFIKAT</v>
      </c>
      <c r="E41" s="295">
        <f>hitung_F1!E241</f>
        <v>4</v>
      </c>
      <c r="F41" s="141"/>
    </row>
    <row r="42" spans="1:6" ht="31.5">
      <c r="A42" s="102">
        <f t="shared" si="0"/>
        <v>32</v>
      </c>
      <c r="B42" s="103" t="str">
        <f>hitung_F1!B244</f>
        <v>8.1.2</v>
      </c>
      <c r="C42" s="106" t="str">
        <f>hitung_F1!C244</f>
        <v>Luas lahan kampus</v>
      </c>
      <c r="D42" s="104" t="str">
        <f>hitung_F1!G244</f>
        <v>Lahan kampus yg dimiliki sudah sangat memadai, Berlokasi beralamat:  DDesa Wasah Tengah, RT 004 RW 002, Kecamatan Simpur, Kabupaten Hulu Sungai Selatan, Provinsi Kalimantan Selatan</v>
      </c>
      <c r="E42" s="295">
        <f>hitung_F1!E245</f>
        <v>3.1784999999999997</v>
      </c>
      <c r="F42" s="141"/>
    </row>
    <row r="43" spans="1:6" ht="31.5">
      <c r="A43" s="102">
        <f t="shared" si="0"/>
        <v>33</v>
      </c>
      <c r="B43" s="103" t="str">
        <f>hitung_F1!B248</f>
        <v>8.1.3</v>
      </c>
      <c r="C43" s="106" t="str">
        <f>hitung_F1!C248</f>
        <v>Status Kepemilikan Lahan</v>
      </c>
      <c r="D43" s="104" t="str">
        <f>hitung_F1!G248</f>
        <v>Status tanah MILIK SENDIRI (klarifikasi saat AL)</v>
      </c>
      <c r="E43" s="295">
        <f>hitung_F1!E252</f>
        <v>4</v>
      </c>
      <c r="F43" s="141"/>
    </row>
    <row r="44" spans="1:6">
      <c r="A44" s="102">
        <f t="shared" si="0"/>
        <v>34</v>
      </c>
      <c r="B44" s="103" t="str">
        <f>hitung_F1!B254</f>
        <v>8.2.1</v>
      </c>
      <c r="C44" s="106" t="str">
        <f>hitung_F1!C254</f>
        <v>Luas ruang kuliah</v>
      </c>
      <c r="D44" s="104" t="str">
        <f>hitung_F1!G254</f>
        <v>Luas ruang kuliah 224 m2, minimal 600 m2 (perlu korfirmas)</v>
      </c>
      <c r="E44" s="295">
        <f>hitung_F1!E258</f>
        <v>4</v>
      </c>
      <c r="F44" s="141"/>
    </row>
    <row r="45" spans="1:6" ht="31.5">
      <c r="A45" s="102">
        <f t="shared" si="0"/>
        <v>35</v>
      </c>
      <c r="B45" s="103" t="str">
        <f>hitung_F1!B260</f>
        <v>8.2.2</v>
      </c>
      <c r="C45" s="106" t="str">
        <f>hitung_F1!C260</f>
        <v>Luas ruang kerja dosen tetap</v>
      </c>
      <c r="D45" s="104" t="str">
        <f>hitung_F1!G260</f>
        <v>Ruang dosen luas 56 m2, minmal 180 m2 (perlu konfirmasi)</v>
      </c>
      <c r="E45" s="295">
        <f>hitung_F1!E264</f>
        <v>4</v>
      </c>
      <c r="F45" s="141"/>
    </row>
    <row r="46" spans="1:6" ht="31.5">
      <c r="A46" s="102">
        <f t="shared" si="0"/>
        <v>36</v>
      </c>
      <c r="B46" s="103" t="str">
        <f>hitung_F1!B266</f>
        <v>8.2.3</v>
      </c>
      <c r="C46" s="106" t="str">
        <f>hitung_F1!C266</f>
        <v>Luas ruang administrasi dan kantor.</v>
      </c>
      <c r="D46" s="104" t="str">
        <f>hitung_F1!G266</f>
        <v>Tersedia luas ruang administrasi dengan luas: 56 m2, minimal 60 m2 (perlu konfirmasi)</v>
      </c>
      <c r="E46" s="295">
        <f>hitung_F1!E270</f>
        <v>4</v>
      </c>
      <c r="F46" s="141"/>
    </row>
    <row r="47" spans="1:6" ht="31.5">
      <c r="A47" s="102">
        <f t="shared" si="0"/>
        <v>37</v>
      </c>
      <c r="B47" s="103" t="str">
        <f>hitung_F1!B272</f>
        <v>8.2.4</v>
      </c>
      <c r="C47" s="106" t="str">
        <f>hitung_F1!C272</f>
        <v>Luas ruang perpustakaan.</v>
      </c>
      <c r="D47" s="104" t="str">
        <f>hitung_F1!G272</f>
        <v>Ruang perpustakaan luas  450 m2 (perlu konfirmasi)</v>
      </c>
      <c r="E47" s="295">
        <f>hitung_F1!E276</f>
        <v>4</v>
      </c>
      <c r="F47" s="141"/>
    </row>
    <row r="48" spans="1:6" ht="47.25">
      <c r="A48" s="102">
        <f t="shared" si="0"/>
        <v>38</v>
      </c>
      <c r="B48" s="103" t="str">
        <f>hitung_F1!B278</f>
        <v>8.2.5</v>
      </c>
      <c r="C48" s="106" t="str">
        <f>hitung_F1!C278</f>
        <v>Ruang praktikum.</v>
      </c>
      <c r="D48" s="104" t="str">
        <f>hitung_F1!G278</f>
        <v>Disebutkan ada 5 ruang Laboratorium untuk persiapan 4 PS, yakni Laboratorium Micro Teaching, Laboratorium Bahasa, Laboratorium Komputer, Laboratorium Mini Perbankan, Laboratorium Sidang Semu, dan Laboratoriumibadah; semua memiliki luas 56 m2, dalam kondisi terawat baik.</v>
      </c>
      <c r="E48" s="295">
        <f>hitung_F1!E282</f>
        <v>4</v>
      </c>
      <c r="F48" s="141"/>
    </row>
    <row r="49" spans="1:6" ht="31.5">
      <c r="A49" s="102">
        <f t="shared" si="0"/>
        <v>39</v>
      </c>
      <c r="B49" s="103" t="str">
        <f>hitung_F1!B284</f>
        <v>8.3.1</v>
      </c>
      <c r="C49" s="106" t="str">
        <f>hitung_F1!C284</f>
        <v>Koleksi buku minimal.</v>
      </c>
      <c r="D49" s="104" t="str">
        <f>hitung_F1!G284</f>
        <v>Untuk 4 PS yakni: PBA, Manajemen Pendidikan Islam, Ekonomi Syariah dan PAI memiliki koleksi buku 1750 judul</v>
      </c>
      <c r="E49" s="295">
        <f>hitung_F1!E288</f>
        <v>4</v>
      </c>
      <c r="F49" s="141"/>
    </row>
    <row r="50" spans="1:6" ht="31.5">
      <c r="A50" s="102">
        <f t="shared" si="0"/>
        <v>40</v>
      </c>
      <c r="B50" s="103" t="str">
        <f>hitung_F1!B290</f>
        <v>8.3.2</v>
      </c>
      <c r="C50" s="106" t="str">
        <f>hitung_F1!C290</f>
        <v>Koleksi buku.</v>
      </c>
      <c r="D50" s="104" t="str">
        <f>hitung_F1!G290</f>
        <v xml:space="preserve">IAI GIBTHA memiliki 1750 judul buku untuk 4 PS yang diusulkan. </v>
      </c>
      <c r="E50" s="295">
        <f>hitung_F1!E295</f>
        <v>1</v>
      </c>
      <c r="F50" s="141"/>
    </row>
    <row r="51" spans="1:6" ht="31.5">
      <c r="A51" s="102">
        <f t="shared" si="0"/>
        <v>41</v>
      </c>
      <c r="B51" s="151" t="str">
        <f>hitung_F1!B297</f>
        <v>8.3.3</v>
      </c>
      <c r="C51" s="152" t="str">
        <f>hitung_F1!C297</f>
        <v>Koleksi atau Akses Jurnal (Terakreditasi) Minimal.</v>
      </c>
      <c r="D51" s="153" t="str">
        <f>hitung_F1!G297</f>
        <v>Ada penjelasan jurnal ilmiah untuk 4 PS yang diusulkan sebanyak 20 judul</v>
      </c>
      <c r="E51" s="297">
        <f>hitung_F1!E301</f>
        <v>4</v>
      </c>
      <c r="F51" s="141"/>
    </row>
    <row r="52" spans="1:6" ht="31.5">
      <c r="A52" s="102">
        <f t="shared" si="0"/>
        <v>42</v>
      </c>
      <c r="B52" s="151" t="str">
        <f>hitung_F1!B303</f>
        <v>8.3.4</v>
      </c>
      <c r="C52" s="152" t="str">
        <f>hitung_F1!C303</f>
        <v>Koleksi atau Akses Jurnal (Terakreditasi)</v>
      </c>
      <c r="D52" s="153" t="str">
        <f>hitung_F1!G303</f>
        <v>Koleksi atau akses jurnal (terakreditasi) ada 4 jurnal. CEK KEMBALI</v>
      </c>
      <c r="E52" s="297">
        <f>hitung_F1!E308</f>
        <v>2</v>
      </c>
      <c r="F52" s="141"/>
    </row>
    <row r="53" spans="1:6" ht="157.5">
      <c r="A53" s="102">
        <f t="shared" si="0"/>
        <v>43</v>
      </c>
      <c r="B53" s="151" t="str">
        <f>hitung_F1!B310</f>
        <v>8.3.5</v>
      </c>
      <c r="C53" s="152" t="str">
        <f>hitung_F1!C310</f>
        <v>Perguruan tinggi memiliki ketersediaan sarana yang digunakan untuk penyelenggaraan pembelajaran dan kegiatan penunjang lainnya. (Catatan: jika sarana milik sendiri, maka untuk butir ini dapat diberikan skor yang lebih tinggi)</v>
      </c>
      <c r="D53" s="153" t="str">
        <f>hitung_F1!G310</f>
        <v xml:space="preserve">Tersedia Sarana dan prasarana cukup untuk IAI GIBTHA, dengan kuantitas dan kualitas yang  baik untuk penyelenggaraan kegiatan pembelajaran dan kegiatan penunjang pembelajaran. Anatara lain: Ruang Perkuliahan, Ruang Lab. Komputer, Ruang PK, Bahasa, Sarana Olahraga, Ruang ketua, Ruang Tata Usaha, Ruang Perpustakaan, Tempat Ibadah, Tempat Parkir, dan dan taman. </v>
      </c>
      <c r="E53" s="297">
        <f>hitung_F1!E316</f>
        <v>3</v>
      </c>
      <c r="F53" s="141"/>
    </row>
    <row r="54" spans="1:6" ht="94.5">
      <c r="A54" s="102">
        <f t="shared" si="0"/>
        <v>44</v>
      </c>
      <c r="B54" s="151" t="str">
        <f>hitung_F1!B318</f>
        <v>8.4.1</v>
      </c>
      <c r="C54" s="152" t="str">
        <f>hitung_F1!C318</f>
        <v>Perguruan tinggi memiliki rancangan sistem pengelolaan sarana dan prasarana, yang meliputi aspek: (1) pencatatan, (2) penggunaan (termasuk petunjuk keselamatan dan keamanan pemakaian), (3) pemeliharaan, dan (4) penghapusan.</v>
      </c>
      <c r="D54" s="153" t="str">
        <f>hitung_F1!G318</f>
        <v>Masih kurang ada penjelasan secara lengkap tentang rancangan ssistem pengelolaan</v>
      </c>
      <c r="E54" s="297">
        <f>hitung_F1!E324</f>
        <v>2</v>
      </c>
      <c r="F54" s="141"/>
    </row>
    <row r="55" spans="1:6" ht="94.5">
      <c r="A55" s="102">
        <f t="shared" si="0"/>
        <v>45</v>
      </c>
      <c r="B55" s="151" t="str">
        <f>hitung_F1!B326</f>
        <v>8.4.2</v>
      </c>
      <c r="C55" s="152" t="str">
        <f>hitung_F1!C326</f>
        <v>Rencana induk pengembangan lahan dan prasarana pembelajaran (gedung pendidikan, penunjang dan fasilitas umum)</v>
      </c>
      <c r="D55" s="153" t="str">
        <f>hitung_F1!G326</f>
        <v>IAI GIBTHA memilki konsep rencana induk pengembangan lahan dan prasarana pembelajaran, Dasar Kebijakan dalam pengembangan sarana dan prasarana di lingkungan IAI  didasarkan pada: SK ........, didalamnya berisi aturan tentang Sistem Informasi, Sarpras, Aspek Pengelolaan Sarpras, Kebutuhan Hardware, Kebutuhan Software, E-procurement, dan  SIM Sarpras. Hal ini dilakukan adalah dalam upaya mendukung tercapainya visi dan misi lembaga.</v>
      </c>
      <c r="E55" s="297">
        <f>hitung_F1!E332</f>
        <v>2</v>
      </c>
      <c r="F55" s="141"/>
    </row>
    <row r="56" spans="1:6" ht="63">
      <c r="A56" s="102">
        <f t="shared" si="0"/>
        <v>46</v>
      </c>
      <c r="B56" s="151" t="str">
        <f>hitung_F1!B334</f>
        <v>8.4.3</v>
      </c>
      <c r="C56" s="152" t="str">
        <f>hitung_F1!C334</f>
        <v>Rencana induk pengembangan sarana pembelajaran (peralatan laboratorium/studio/bengkel, mebeler, komputer, termasuk koleksi pustaka).</v>
      </c>
      <c r="D56" s="153" t="str">
        <f>hitung_F1!G334</f>
        <v>IAI GIBTHA  memilki konsep rencana induk pengembangan sarana pembelajaran berdasarkan pada: SK ......, didalamnya berisi aturan tentang Sistem Informasi, Sarpras, Aspek Pengelolaan Sarpras, Kebutuhan Hardware, Kebutuhan Software, E-procurement, dan  SIM Sarpras. Hal ini dilakukan adalah dalam upaya mendukung tercapainya visi dan misi lembaga.</v>
      </c>
      <c r="E56" s="297">
        <f>hitung_F1!E340</f>
        <v>2</v>
      </c>
      <c r="F56" s="141"/>
    </row>
    <row r="57" spans="1:6" ht="47.25">
      <c r="A57" s="102">
        <f t="shared" si="0"/>
        <v>47</v>
      </c>
      <c r="B57" s="151" t="str">
        <f>hitung_F1!B343</f>
        <v>9.1.1</v>
      </c>
      <c r="C57" s="152" t="str">
        <f>hitung_F1!C343</f>
        <v xml:space="preserve">Kepemilikan dana badan penyelenggara. </v>
      </c>
      <c r="D57" s="153" t="str">
        <f>hitung_F1!G343</f>
        <v>Yayasan Ibnu Atha’illah merupakan organisasi yang mendukung santri Ibnu Atha’illah, yang terbagi dalam lima departemen, yaitu 1) Departemen Humas, yang fokus pada interaksi masyarakat baik secara daring maupun luring, serta kerjasama dengan pihak- pihak di luar Pondok Pesantren Ibnu Atha’illah. 2) Departemen Dakwah, yang berhubungan dengan pengajaran kitab kuning di daerah atau kabupaten, serta para da’i yang siap untuk menyebarluaskan dakwah Islam ke berbagai penjuru. 3) Departemen Pendidikan dan Pelatihan, yang berhubungan dengan pendampingan organisasi dan pengembangan pendidikan di Pondok Pesantren Ibnu Atha’illah di berbagai lokasi, termasuk juga pendirian perguruan tinggi Institut Agama Islam (IAI) Guru Kapuh Ibnu Atha’illah (GIBTHA). 4) Departemen Ekonomi dan Bisnis, yang terlibat dalam kemandirian dan usaha lembaga. 5) Departemen Sekretariat, yang bertanggung jawab untuk mendata alumni santri dari Pondok Pesantren Ibnu Atha’illah. Jumlah Aset lembaga yg dimilki saat ini Rp. 4.706.457.247</v>
      </c>
      <c r="E57" s="297">
        <f>hitung_F1!E347</f>
        <v>4</v>
      </c>
      <c r="F57" s="141"/>
    </row>
    <row r="58" spans="1:6" ht="63">
      <c r="A58" s="102">
        <f t="shared" si="0"/>
        <v>48</v>
      </c>
      <c r="B58" s="151" t="str">
        <f>hitung_F1!B350</f>
        <v>9.1.2</v>
      </c>
      <c r="C58" s="152" t="str">
        <f>hitung_F1!C350</f>
        <v>Laporan keuangan badan penyelenggara</v>
      </c>
      <c r="D58" s="153" t="str">
        <f>hitung_F1!G350</f>
        <v>Laporan keuangan Yayasan untuk tahun yang berakhir per 31 desember 2025 sebagaimana terlampir yang terdiri dari
a) Laporan posisi keuangan
b) Laporan aktivitas
c) Laporan arus kas
d) Catatan atas laporan keuangan</v>
      </c>
      <c r="E58" s="297">
        <f>hitung_F1!E354</f>
        <v>4</v>
      </c>
      <c r="F58" s="141"/>
    </row>
    <row r="59" spans="1:6" ht="141.75">
      <c r="A59" s="102">
        <f t="shared" si="0"/>
        <v>49</v>
      </c>
      <c r="B59" s="151" t="str">
        <f>hitung_F1!B357</f>
        <v>9.2.1</v>
      </c>
      <c r="C59" s="152" t="str">
        <f>hitung_F1!C357</f>
        <v>Perguruan tinggi memiliki kebijakan pengelolaan dana yang mencakup aspek: (1) Rencana penerimaan dan pengalokasian, (2) Penyerapan dan penggunaan, (3) Monitoring &amp; evaluasi, (4) Pelaporan, (5) Audit, dan (6) Pertanggungjawaban kepada pemangku kepentingan, serta mekanisme yang mengatur keterlibatan seluruh unit kerja dalam pengelolaan dana institusi.</v>
      </c>
      <c r="D59" s="153" t="str">
        <f>hitung_F1!G357</f>
        <v>IAI GIBTHA memiliki kebijakan pengelolaan dana yang mencakup aspek: (1) Rencana penerimaan dan pengalokasian, (2) Penyerapan dan penggunaan, (3) Monitoring &amp; evaluasi, (4) Pelaporan, (5) Audit, dan (6) Pertanggungjawaban kepada pemangku kepentingan, serta mekanisme yang mengatur keterlibatan seluruh unit kerja dalam pengelolaan dana institusi.</v>
      </c>
      <c r="E59" s="297">
        <f>hitung_F1!E363</f>
        <v>2</v>
      </c>
      <c r="F59" s="141"/>
    </row>
    <row r="60" spans="1:6" ht="63">
      <c r="A60" s="102">
        <f t="shared" si="0"/>
        <v>50</v>
      </c>
      <c r="B60" s="151" t="str">
        <f>hitung_F1!B366</f>
        <v>9.2.2</v>
      </c>
      <c r="C60" s="152" t="str">
        <f>hitung_F1!C366</f>
        <v>Proyeksi Arus Kas</v>
      </c>
      <c r="D60" s="153" t="str">
        <f>hitung_F1!G366</f>
        <v>Proyeksi Arus Kas: IAI GIBTHA sudah menunjukkan sirkulasi keuangan secara:  (1) rinci, (2) lengkap, (3) realistik, (4) logis, dan (5) konsisten dengan analisis pada studi kelayakan, serta tidak ada saldo negatif, dan dilengkapi dengan dokumen pendukung, terutama untuk pengeluaran investasi pembangunan gedung dan peralatan pendidikan. Jumlah Pendapatan tahun 2025 Rp. 29.900.095.122, Posisi keuangan, kegiatan finansial dan laporan aliran kas finansial Yayasan Ibnu Atha’illah dalam mendukung operasi perguruan tinggi yang aman dan sehat</v>
      </c>
      <c r="E60" s="297">
        <f>hitung_F1!E370</f>
        <v>4</v>
      </c>
      <c r="F60" s="141"/>
    </row>
    <row r="61" spans="1:6" ht="94.5">
      <c r="A61" s="102">
        <f t="shared" si="0"/>
        <v>51</v>
      </c>
      <c r="B61" s="151" t="str">
        <f>hitung_F1!B373</f>
        <v>9.2.2.1</v>
      </c>
      <c r="C61" s="152" t="str">
        <f>hitung_F1!C373</f>
        <v>Rencana penerimaan dana yang bersumber dari mahasiswa (SPP dan dana lainnya).</v>
      </c>
      <c r="D61" s="153" t="str">
        <f>hitung_F1!G373</f>
        <v>Ada informasi tentang rencana penerimaan dari sumber mahasiswa Rp. 8.190.000.000, dari total  keseluruhan dana mmasuk yakni: Rp. 45,634,357,188</v>
      </c>
      <c r="E61" s="297">
        <f>hitung_F1!E377</f>
        <v>4</v>
      </c>
      <c r="F61" s="141"/>
    </row>
    <row r="62" spans="1:6" ht="47.65" thickBot="1">
      <c r="A62" s="138">
        <f t="shared" si="0"/>
        <v>52</v>
      </c>
      <c r="B62" s="150" t="str">
        <f>hitung_F1!B380</f>
        <v>9.2.2.2</v>
      </c>
      <c r="C62" s="139" t="str">
        <f>hitung_F1!C380</f>
        <v>Rencana penggunaan dana.</v>
      </c>
      <c r="D62" s="140" t="str">
        <f>hitung_F1!G380</f>
        <v>IAI GIBTHA memiliki rencana penggunaan dana yang realistik untuk penyelenggaraan proses pembelajaran, penelitian dan PkM seluruh program studi dan rencana investasi yang memadai selama minimal 3 tahun ke depan</v>
      </c>
      <c r="E62" s="298">
        <f>hitung_F1!E386</f>
        <v>2</v>
      </c>
      <c r="F62" s="141"/>
    </row>
    <row r="63" spans="1:6">
      <c r="A63" s="91"/>
      <c r="B63" s="22"/>
      <c r="C63" s="20"/>
      <c r="D63" s="20"/>
      <c r="E63" s="21"/>
    </row>
    <row r="64" spans="1:6">
      <c r="A64" s="22"/>
      <c r="B64" s="22"/>
      <c r="C64" s="20"/>
      <c r="D64" s="20" t="str">
        <f>Menu!F18&amp;", "&amp;TEXT(Menu!F20,"dd mmmm yyyy")</f>
        <v>Bandung, 12 Mei 2026</v>
      </c>
      <c r="E64" s="21"/>
    </row>
    <row r="65" spans="1:5">
      <c r="A65" s="91"/>
      <c r="B65" s="22"/>
      <c r="C65" s="20"/>
      <c r="D65" s="20"/>
      <c r="E65" s="21"/>
    </row>
    <row r="66" spans="1:5">
      <c r="A66" s="91"/>
      <c r="B66" s="22"/>
      <c r="C66" s="20"/>
      <c r="E66" s="107"/>
    </row>
    <row r="67" spans="1:5">
      <c r="A67" s="31"/>
      <c r="B67" s="31"/>
      <c r="C67" s="20"/>
      <c r="D67" s="32"/>
      <c r="E67" s="21"/>
    </row>
    <row r="68" spans="1:5">
      <c r="A68" s="31"/>
      <c r="B68" s="31"/>
      <c r="C68" s="20"/>
      <c r="D68" s="32" t="s">
        <v>89</v>
      </c>
      <c r="E68" s="21"/>
    </row>
    <row r="69" spans="1:5">
      <c r="A69" s="31"/>
      <c r="B69" s="31"/>
      <c r="C69" s="20"/>
      <c r="D69" s="107"/>
      <c r="E69" s="107"/>
    </row>
    <row r="70" spans="1:5">
      <c r="A70" s="31"/>
      <c r="B70" s="31"/>
      <c r="C70" s="20"/>
      <c r="D70" s="24"/>
      <c r="E70" s="21"/>
    </row>
    <row r="71" spans="1:5">
      <c r="A71" s="95"/>
      <c r="B71" s="31"/>
      <c r="C71" s="95"/>
      <c r="D71" s="304" t="str">
        <f>Menu!F16</f>
        <v>Prof. Dr. Ramdani Wahyu S</v>
      </c>
      <c r="E71" s="21"/>
    </row>
    <row r="72" spans="1:5">
      <c r="A72" s="95"/>
      <c r="B72" s="31"/>
      <c r="C72" s="95"/>
      <c r="D72" s="107"/>
      <c r="E72" s="21"/>
    </row>
    <row r="73" spans="1:5">
      <c r="A73" s="95"/>
      <c r="B73" s="31"/>
      <c r="C73" s="95"/>
      <c r="D73" s="107"/>
      <c r="E73" s="21"/>
    </row>
    <row r="74" spans="1:5">
      <c r="A74" s="22"/>
      <c r="B74" s="22"/>
      <c r="C74" s="20"/>
      <c r="D74" s="20"/>
      <c r="E74" s="21"/>
    </row>
    <row r="75" spans="1:5">
      <c r="A75" s="22"/>
      <c r="B75" s="22"/>
      <c r="C75" s="20"/>
      <c r="D75" s="20"/>
      <c r="E75" s="21"/>
    </row>
    <row r="76" spans="1:5">
      <c r="A76" s="22"/>
      <c r="B76" s="22"/>
      <c r="C76" s="20"/>
      <c r="D76" s="20"/>
      <c r="E76" s="21"/>
    </row>
    <row r="77" spans="1:5">
      <c r="A77" s="22"/>
      <c r="B77" s="22"/>
      <c r="C77" s="20"/>
      <c r="D77" s="20"/>
      <c r="E77" s="21"/>
    </row>
    <row r="78" spans="1:5">
      <c r="A78" s="22"/>
      <c r="B78" s="22"/>
      <c r="C78" s="20"/>
      <c r="D78" s="20"/>
      <c r="E78" s="21"/>
    </row>
    <row r="79" spans="1:5">
      <c r="A79" s="22"/>
      <c r="B79" s="22"/>
      <c r="C79" s="20"/>
      <c r="D79" s="20"/>
      <c r="E79" s="21"/>
    </row>
    <row r="80" spans="1:5">
      <c r="A80" s="22"/>
      <c r="B80" s="22"/>
      <c r="C80" s="20"/>
      <c r="D80" s="20"/>
      <c r="E80" s="21"/>
    </row>
  </sheetData>
  <sheetProtection formatColumns="0" formatRows="0" selectLockedCells="1"/>
  <mergeCells count="8">
    <mergeCell ref="A8:C8"/>
    <mergeCell ref="A7:C7"/>
    <mergeCell ref="A1:E1"/>
    <mergeCell ref="A3:E3"/>
    <mergeCell ref="D5:E5"/>
    <mergeCell ref="D6:E6"/>
    <mergeCell ref="A5:C5"/>
    <mergeCell ref="A6:C6"/>
  </mergeCells>
  <phoneticPr fontId="5" type="noConversion"/>
  <pageMargins left="0.75" right="0.75" top="1" bottom="0.75" header="0.3" footer="0.3"/>
  <pageSetup paperSize="9" scale="80" orientation="portrait" r:id="rId1"/>
  <headerFooter>
    <oddFooter>&amp;LFormat 1 - &amp;D@&amp;T&amp;CAIPT&amp;R&amp;P/&amp;N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O87"/>
  <sheetViews>
    <sheetView view="pageBreakPreview" zoomScale="70" zoomScaleNormal="150" zoomScaleSheetLayoutView="70" zoomScalePageLayoutView="80" workbookViewId="0">
      <selection activeCell="D7" sqref="D7:D58"/>
    </sheetView>
  </sheetViews>
  <sheetFormatPr defaultColWidth="8.73046875" defaultRowHeight="15.75"/>
  <cols>
    <col min="1" max="1" width="5.1328125" style="25" customWidth="1"/>
    <col min="2" max="2" width="6.265625" style="25" customWidth="1"/>
    <col min="3" max="3" width="23.1328125" style="25" customWidth="1"/>
    <col min="4" max="4" width="61.86328125" style="25" customWidth="1"/>
    <col min="5" max="5" width="26.9296875" style="25" customWidth="1"/>
    <col min="6" max="16384" width="8.73046875" style="154"/>
  </cols>
  <sheetData>
    <row r="1" spans="1:15">
      <c r="A1" s="411" t="s">
        <v>174</v>
      </c>
      <c r="B1" s="411"/>
      <c r="C1" s="411"/>
      <c r="D1" s="411"/>
      <c r="E1" s="411"/>
    </row>
    <row r="2" spans="1:15">
      <c r="A2" s="281"/>
    </row>
    <row r="3" spans="1:15" ht="53.25" customHeight="1">
      <c r="A3" s="415" t="s">
        <v>585</v>
      </c>
      <c r="B3" s="415"/>
      <c r="C3" s="415"/>
      <c r="D3" s="415"/>
      <c r="E3" s="415"/>
      <c r="F3" s="192"/>
      <c r="G3" s="192"/>
      <c r="H3" s="192"/>
      <c r="I3" s="282"/>
      <c r="J3" s="192"/>
      <c r="K3" s="192"/>
      <c r="L3" s="192"/>
      <c r="M3" s="192"/>
      <c r="N3" s="192"/>
    </row>
    <row r="4" spans="1:15" ht="61.5" customHeight="1">
      <c r="A4" s="414" t="s">
        <v>390</v>
      </c>
      <c r="B4" s="414"/>
      <c r="C4" s="414"/>
      <c r="D4" s="414"/>
      <c r="E4" s="414"/>
      <c r="F4" s="192"/>
      <c r="G4" s="192"/>
      <c r="H4" s="192"/>
      <c r="I4" s="282"/>
      <c r="J4" s="192"/>
      <c r="K4" s="192"/>
      <c r="L4" s="192"/>
      <c r="M4" s="192"/>
      <c r="N4" s="192"/>
    </row>
    <row r="5" spans="1:15">
      <c r="A5" s="414"/>
      <c r="B5" s="414"/>
      <c r="C5" s="414"/>
      <c r="D5" s="414"/>
      <c r="E5" s="414"/>
      <c r="F5" s="192"/>
      <c r="G5" s="192"/>
      <c r="H5" s="192"/>
      <c r="I5" s="192"/>
      <c r="J5" s="192"/>
      <c r="K5" s="192"/>
      <c r="L5" s="192"/>
      <c r="M5" s="192"/>
      <c r="N5" s="192"/>
      <c r="O5" s="192"/>
    </row>
    <row r="6" spans="1:15" ht="65.25" customHeight="1">
      <c r="A6" s="283" t="s">
        <v>7</v>
      </c>
      <c r="B6" s="283" t="s">
        <v>24</v>
      </c>
      <c r="C6" s="283" t="s">
        <v>388</v>
      </c>
      <c r="D6" s="283" t="s">
        <v>389</v>
      </c>
      <c r="E6" s="283" t="s">
        <v>3</v>
      </c>
    </row>
    <row r="7" spans="1:15" ht="409.15" customHeight="1" thickBot="1">
      <c r="A7" s="284">
        <f>'F1'!A11</f>
        <v>1</v>
      </c>
      <c r="B7" s="284">
        <f>'F1'!B11</f>
        <v>1.1000000000000001</v>
      </c>
      <c r="C7" s="104" t="str">
        <f>'F1'!D11</f>
        <v>Penyusunan Visi, Misi, Tujuan, dan Sasaran Pendirian Institut Agama Islam (IAI) Guru Kapuh Ibnu Atha’illah (GHIBTA) dilakukan berdasarkan kajian terhadap tantangan serta kebutuhan yang muncul baik dari lingkungan eksternal maupun internal lembaga. Visi IAI: Menjadi Institut Agama Islam Guru Kapuh Ibnu Atha’illah Yang Unggul dalam memadukan keimanan, nilai Qur’an, adab dan keilmuan serta melahirkan generasi yang berdaya guna bagi umat dan berjiwa entrepreneur. Dalam penyusunan sudah melibatkan pihak internal dan eksternal, spt: Pondok Pesantren (Induk/Afiliasi), Pengguna Lulusan (Alumni &amp; Dunia Kerja), Pemerintah (Kemenag, LLDIKTI, Pemda), Masyarakat/Komunitas Lokal, dan Mitra Kerja Sama (Perguruan Tinggi, NGO &amp; Bank Syariah). Secara konseptual sudah ada kelajalasan arah visi yg diharapkan. Visi cukup realitisk karena adanya dukungan SDM dosen tendik yg memadai, ketersedian sarpras pendukung, serta tata kelola kelembagaan yg disiapkan, Konsep Visi memiliki keterkaitan arah dg mimpi atau keinginan Yayasan, yakni melahirkan generasi unggul yg berilmu pengetahuan, berakhlak al-karimah, dan mampu mengadaptasi perkembangan zaman</v>
      </c>
      <c r="D7" s="445" t="s">
        <v>582</v>
      </c>
      <c r="E7" s="280"/>
    </row>
    <row r="8" spans="1:15" ht="408" customHeight="1" thickBot="1">
      <c r="A8" s="284">
        <f>'F1'!A12</f>
        <v>2</v>
      </c>
      <c r="B8" s="284">
        <f>'F1'!B12</f>
        <v>1.2</v>
      </c>
      <c r="C8" s="104" t="str">
        <f>'F1'!D12</f>
        <v xml:space="preserve">Rencana Induk Pengembangan (RIP) IAI Guru Kapuh Ibnu Atha’illah (GHIBTA) 2025–2047 dijelaskan arah pengembangan lembaga menuju visi tahun 2047 dengan uraian sebagai berikut: Pertama, Tahap Forming, Established Institute. tahun 2032 IAI Guru Kapuh Ibnu Atha’illah (GHIBTA) bertransformasi menjadi Institut Agama Islam (IAI) Guru Kapuh Ibnu Atha’illah (GHIBTA). Kedua, Tahap Growing tahun 2032 menuju Universitas yang unggul dalam menghasilkan Ulama, Umaro dan Cendekiawan Muslim Dunia. </v>
      </c>
      <c r="D8" s="445" t="s">
        <v>522</v>
      </c>
      <c r="E8" s="280"/>
    </row>
    <row r="9" spans="1:15" ht="220.9" thickBot="1">
      <c r="A9" s="284">
        <f>'F1'!A13</f>
        <v>3</v>
      </c>
      <c r="B9" s="284" t="str">
        <f>'F1'!B13</f>
        <v>2.1.1</v>
      </c>
      <c r="C9" s="104" t="str">
        <f>'F1'!D13</f>
        <v>Penyelenggara Institut Agama Islam (IAI) Guru Kapuh Ibnu Atha’illah (GIBTHA) adalah Lembaga Pendidikan Yayasan Ibnu Athaillah Indonesia dengan telah terdaftar di Notaris MARIA SEPTIANI SOFIA, SH., M.KN. tercatat SK. MENKEH &amp; HAM RI No AHU-08705.50.10.2014. TANGGAL 06 NOVEMBER 2014</v>
      </c>
      <c r="D9" s="445" t="s">
        <v>523</v>
      </c>
      <c r="E9" s="280"/>
    </row>
    <row r="10" spans="1:15" ht="409.6" thickBot="1">
      <c r="A10" s="284">
        <f>'F1'!A14</f>
        <v>4</v>
      </c>
      <c r="B10" s="284" t="str">
        <f>'F1'!B14</f>
        <v>2.1.2</v>
      </c>
      <c r="C10" s="104" t="str">
        <f>'F1'!D14</f>
        <v>Badan Penyelenggara telah memiliki Surat Keputusan Pejabat Berwenang daro Kemenkumham melelui Notaris: MARIA SEPTIANI SOFIA, SH., M.KN.
NOTARIS. PPAT, SK. MENKEH &amp; HAM RI No. AHU-08705.50.10.2014. TANGGAL 06 NOVEMBER 2014 PENGESAHAN PENDIRIAN YAYASAN IBNU ATHA’ILLAH TANGGAL : 06 November 2014. Pada Pasal 3 disebutkan: Yayasan berberak pada bidang Pendidikan meliputi:
Mendirikan Menyelenggarakan lembaga-lembaga pendidikan yang bersifat formal dan nonformal meliputi jenjang pendidikan pra-sekolah sampai tingkat perguruan tinggi atau pascasarjana</v>
      </c>
      <c r="D10" s="445" t="s">
        <v>524</v>
      </c>
      <c r="E10" s="280"/>
    </row>
    <row r="11" spans="1:15" ht="409.15" customHeight="1" thickBot="1">
      <c r="A11" s="284">
        <f>'F1'!A15</f>
        <v>5</v>
      </c>
      <c r="B11" s="284" t="str">
        <f>'F1'!B15</f>
        <v>2.2.1</v>
      </c>
      <c r="C11" s="104" t="str">
        <f>'F1'!D15</f>
        <v>Rancangan tata pamong yang akan diberlakukan Institut Agama Islam (IAI) Guru Kapuh Ibnu Atha’illah (GIBTHA) bertujuan untuk membangun sistem pengelolaan yang kredibel, transparan, akuntabel, bertanggung jawab, dan adil, sesuai dengan prinsip-prinsip good university governance (GUG); indikator yg dapat diuraikan tentang pelaksanaan tata pemong kredibel terlihat dari:  (1) Kredible, terlihat seluruh proses manajerial dan akademik harus didukung oleh basis empiris (evidence-based) dan justifikasi normatif. (2) Transparan, tercerrmin pada eterbukaan informasi publik (misalnya, laporan keuangan, kebijakan SDM, dan kriteria penerimaan) tetapi juga artikulasi yang eksplisit mengenai mekanisme pengambilan keputusan. (3) Akuntable, tercermin adanya kebijakan yang jelas dan keterbukaan terhadap proses pengambilan keputusan. (4) Bertanggung jawab: secara kelembagaan IAI memiliki alur pendistribusian kerja yg sudah memada. Pilar ini bertugas memastikan institusi tetap mematuhi hukum dan bertanggung jawab secara etis. IPT harus berjalan sesuai dengan aturan yang berlaku di negara, serta lebih dari itu, menggabungkan prinsip Tanggung Jawab Sosial Institusi (TSI) atau Corporate Social Responsibility (CSR), dan (5) Adil; tercermin adanya kesetaraan perlakuan dan objektivitas dalam interaksi antara institusi dengan seluruh civitas academica dan mitra. Ini diwujudkan melalui prosedur yang imparsial dalam pengelolaan sumber daya manusia, pengadaan barang/jasa, dan penentuan hak serta kewajiban.</v>
      </c>
      <c r="D11" s="445" t="s">
        <v>525</v>
      </c>
      <c r="E11" s="280"/>
    </row>
    <row r="12" spans="1:15" ht="393.75">
      <c r="A12" s="284">
        <f>'F1'!A16</f>
        <v>6</v>
      </c>
      <c r="B12" s="284" t="str">
        <f>'F1'!B16</f>
        <v>2.2.2</v>
      </c>
      <c r="C12" s="104" t="str">
        <f>'F1'!D16</f>
        <v>Terdapat gambaran jelas tentang rancangan struktur organisasi IAI GIBTHA  terdiri dari:  1) Rektor, 2)  Wakil Rektor 123, sebagai Penyusun Kebijakan; 3) Ketua  Prodi dan Sekretaris Prodi sebagai pelaksana akademik; 4) LPM (Lembaga Penjaminan Mutu): sebagai pengawas dan penjamin mutu IAI, 5) Perpustakaan sebagai Penunjang Akademik/ Sumber Belajar, 6) Biro keuangan, Biro administrasi sebagai pelaksana administrasi. Ada penjelasan secara detail tentang jobdescription untuk masing-masing unit tersebut.</v>
      </c>
      <c r="D12" s="448" t="s">
        <v>526</v>
      </c>
      <c r="E12" s="280"/>
      <c r="H12" s="285"/>
    </row>
    <row r="13" spans="1:15" ht="290.10000000000002" customHeight="1" thickBot="1">
      <c r="A13" s="284">
        <f>'F1'!A17</f>
        <v>7</v>
      </c>
      <c r="B13" s="284" t="str">
        <f>'F1'!B17</f>
        <v>2.3.1</v>
      </c>
      <c r="C13" s="104" t="str">
        <f>'F1'!D17</f>
        <v>Terdapat penjelasan secara baik dan memadai tentang  IAI GHIBTA  memiliki rancangan dokumen sistem pengelolaan yang mencakup (1) analisis jabatan dari setiap pengelola yg terpangpang dalam struktur organisasi, (2)  uraian tugas lengkap dari setiap unsur yg ada, dan (3) prosedur kerja yg menggambarkan adanya hubungan timbal balik kerja antara satu unit dg unit lainnya, atasan bawahan. Rancangan program pengembangan kompetensi manajerial berupa: Peningkatan kompetensi manajerial dilakukan dengan mengacu kepada SK Yayasan. Program pengembangan meliputi kegiatan berikut: 1) Program Peningkatan Kompetensi manajerial Pimpinan; khusus untuk peningkatan kompetensi diberikan kepada unsur pimpinan untuk semua unit kerja di lingkungan IAI; 2) Peningkatan manajemen sumber daya manusia, 3) Peningkatan manajemen keuangan, dan 4) Peningkatan manajemen sarana prasarana.</v>
      </c>
      <c r="D13" s="445" t="s">
        <v>527</v>
      </c>
      <c r="E13" s="280"/>
    </row>
    <row r="14" spans="1:15" ht="409.6" thickBot="1">
      <c r="A14" s="284">
        <f>'F1'!A18</f>
        <v>8</v>
      </c>
      <c r="B14" s="284" t="str">
        <f>'F1'!B18</f>
        <v>2.3.2</v>
      </c>
      <c r="C14" s="104" t="str">
        <f>'F1'!D18</f>
        <v>Rancangan desiminasi/laporan hasil kerja PT secara berkala dirancang secara baik sebagai bukti pertanggungjawaban lembaga terhadap publik, merujuk pada: Standar Nasional Pendidikan Tinggi (SN-Dikti): Diseminasi merupakan bagian dari siklus Penetapan, Pelaksanaan, Evaluasi, Pengendalian, dan Peningkatan (PPEPP) dalam Sistem Penjaminan Mutu Internal (SPMI) perguruan tinggi, dan Peraturan Badan Akreditasi Nasional Perguruan Tinggi (BAN-PT).  Dokumen laporan desiminasi antara lain: 1) Menyajikan bukti otentik kepada pemangku kepentingan (internal dan eksternal) bahwa penyelenggaraan pendidikan telah memenuhi standar mutu nasional dan internasional. 2)  Evaluasi Kinerja: Mengidentifikasi kekuatan dan kelemahan institusi dengan membandingkan hasil aktual terhadap target Rencana Operasional (Renop) 2026– 2031, yang diukur melalui empat kategori indikator: Masukan, Proses, Keluaran, dan Danpak. 3) Berbasis IKU dan 9 Program Strategis sebagai landasan untuk perumusan kebijakan dan perbaikan mutu berkelanjutan.</v>
      </c>
      <c r="D14" s="445" t="s">
        <v>528</v>
      </c>
      <c r="E14" s="280"/>
    </row>
    <row r="15" spans="1:15" ht="205.15" thickBot="1">
      <c r="A15" s="284">
        <f>'F1'!A19</f>
        <v>9</v>
      </c>
      <c r="B15" s="284" t="str">
        <f>'F1'!B19</f>
        <v>2.4.1.1</v>
      </c>
      <c r="C15" s="104" t="str">
        <f>'F1'!D19</f>
        <v>Terdapat 4 PS yang diusulkan untuk menyertai usulan IAI GHIBTA Kalsel. yakni: 1) Program Studi Pendidikan Bahasa Arab (PBA), 2) Program Studi Manajemen Pendidikan Islam (MPI), 3) Program Studi Pendidikan Agama Islam (PAI), dan 4) Program Studi Ekonomi Syariah (ES).</v>
      </c>
      <c r="D15" s="445" t="s">
        <v>529</v>
      </c>
      <c r="E15" s="280"/>
    </row>
    <row r="16" spans="1:15" ht="220.9" thickBot="1">
      <c r="A16" s="284">
        <f>'F1'!A20</f>
        <v>10</v>
      </c>
      <c r="B16" s="284" t="str">
        <f>'F1'!B20</f>
        <v>2.4.1.2</v>
      </c>
      <c r="C16" s="104" t="str">
        <f>'F1'!D20</f>
        <v xml:space="preserve">Terdapat NPS_B = Jumlah program studi dari rumpun ilmu agama: 4 PS, yakni:1) Program Studi Pendidikan Bahasa Arab (PBA), 2) Program Studi Manajemen Pendidikan Islam (MPI), 3) Program Studi Pendidikan Agama Islam (PAI), dan 4) Program Studi Ekonomi Syariah (ES).
</v>
      </c>
      <c r="D16" s="445" t="s">
        <v>530</v>
      </c>
      <c r="E16" s="280"/>
    </row>
    <row r="17" spans="1:6" ht="205.15" thickBot="1">
      <c r="A17" s="284">
        <f>'F1'!A21</f>
        <v>11</v>
      </c>
      <c r="B17" s="284" t="str">
        <f>'F1'!B21</f>
        <v>2.4.1.3</v>
      </c>
      <c r="C17" s="104" t="str">
        <f>'F1'!D21</f>
        <v>Terdapat NPS_B = Jumlah program studi dari rumpun ilmu agama: 4 PS, yakni: 1) Program Studi Pendidikan Bahasa Arab (PBA), 2) Program Studi Manajemen Pendidikan Islam (MPI), 3) Program Studi Pendidikan Agama Islam (PAI), dan 4) Program Studi Ekonomi Syariah (ES).</v>
      </c>
      <c r="D17" s="445" t="s">
        <v>531</v>
      </c>
      <c r="E17" s="280"/>
    </row>
    <row r="18" spans="1:6" ht="268.14999999999998" thickBot="1">
      <c r="A18" s="284">
        <f>'F1'!A22</f>
        <v>12</v>
      </c>
      <c r="B18" s="284" t="str">
        <f>'F1'!B22</f>
        <v>2.4.2</v>
      </c>
      <c r="C18" s="104" t="str">
        <f>'F1'!D22</f>
        <v>Terdapat NM = NPS_ijinbaru = Jumlah program studi baru yang terakreditasi minimum (berdasarkan hasil penilaian akreditasi program studi baru):  4 PS, yakni 1) Program Studi Pendidikan Bahasa Arab (PBA), 2) Program Studi Manajemen Pendidikan Islam (MPI), 3) Program Studi Pendidikan Agama Islam (PAI), dan 4) Program Studi Ekonomi Syariah (ES).</v>
      </c>
      <c r="D18" s="445" t="s">
        <v>532</v>
      </c>
      <c r="E18" s="280"/>
    </row>
    <row r="19" spans="1:6" ht="409.6" thickBot="1">
      <c r="A19" s="284">
        <f>'F1'!A23</f>
        <v>13</v>
      </c>
      <c r="B19" s="284">
        <f>'F1'!B23</f>
        <v>2.5</v>
      </c>
      <c r="C19" s="104" t="str">
        <f>'F1'!D23</f>
        <v>IAI GHIBTA sudah memiliki rancangan Sistem Monitoring dan Evaluasi (Monev) Berbasis unggul dalam menyatukan serta memadukan keimanan, Qur’an dan adab serta keilmuan. Sistem Monev ini dirancang dalam kerangka Sistem Penjaminan Mutu Internal (SPMI) Institut Agama Islam Guru Kapuh Ibnu Atha’illah (IAI GIBTHA) dengan siklus Penetapan, Pelaksanaan, Evaluasi (Monev), Pengendalian, dan Peningkatan (PPEPP) yang dilaksanakan secara konsisten oleh PPM. MASIH PERLU DIBUAT RNCANGAN DOKUMEN KEBIJAKAN MUTU,MANUAL MUTU, STANDAR MUTU, SOP, FORMULIR MUTU, dan IMPLEMENTASI PPEPP .</v>
      </c>
      <c r="D19" s="445" t="s">
        <v>583</v>
      </c>
      <c r="E19" s="280"/>
    </row>
    <row r="20" spans="1:6" ht="409.5" customHeight="1" thickBot="1">
      <c r="A20" s="284">
        <f>'F1'!A24</f>
        <v>14</v>
      </c>
      <c r="B20" s="284">
        <f>'F1'!B24</f>
        <v>2.6</v>
      </c>
      <c r="C20" s="104" t="str">
        <f>'F1'!D24</f>
        <v>IAI GIBTHA memiliki rancangan kebijakan dan pedoman kerjasama sebagaimana tertuang dalam Surat Keputusan Rektor IAI mengenai Pedoman Kerja Sama Dalam Negeri. Pedoman ini mencakup empat tahap utama, yaitu perintisan kerja sama, pengesahan, pelaksanaan, serta monitoring dan evaluasi. Dokumen pedoman ini berfungsi memastikan mutu pelaksanaan kerja sama, kesesuaian kegiatan dengan bidang keahlian perguruan tinggi dan mitra, serta produktivitas sehingga kerja sama dapat berjalan secara berkelanjutan.</v>
      </c>
      <c r="D20" s="445" t="s">
        <v>533</v>
      </c>
      <c r="E20" s="280"/>
    </row>
    <row r="21" spans="1:6" ht="409.6" thickBot="1">
      <c r="A21" s="284">
        <f>'F1'!A25</f>
        <v>15</v>
      </c>
      <c r="B21" s="284">
        <f>'F1'!B25</f>
        <v>3.1</v>
      </c>
      <c r="C21" s="104" t="str">
        <f>'F1'!D25</f>
        <v>IAI GIBTHA memiliki kebijakan tentang penerimaan mahasiwa baru yg tertuang dalam Keputusan Ketua IAI Guru Kapuh Ibnu Atha’illah (GIBTHA) tentang SOP Akademik, di dalamnya berisi tentang: (1) kebijakan, ada aturan nasional dan Statuta dan Pedoman Akademik;  (2) kriteria, Kriteria seleksi mahasiswa baru, dari kriteria umum, akademik, dan non-akademik.  (3) prosedur, mulai dari pendaftaran, tes, dan penetapan lulusan dijelaskan secara detail; dan (4) mekanisme pengambilan keputusan, dijelaskan secara detail. Seleksi mahasiswa dilakukan secara internal, rekrutmen calon mahasiswa IAI Guru Kapuh Ibnu Atha’illah (GIBTHA) juga dibuka bagi masyarakat umum. (Cek kembali bukti formal dokumen yg dimiliki)</v>
      </c>
      <c r="D21" s="445" t="s">
        <v>534</v>
      </c>
      <c r="E21" s="280"/>
    </row>
    <row r="22" spans="1:6" ht="409.6" thickBot="1">
      <c r="A22" s="284">
        <f>'F1'!A26</f>
        <v>16</v>
      </c>
      <c r="B22" s="284">
        <f>'F1'!B26</f>
        <v>3.2</v>
      </c>
      <c r="C22" s="104" t="str">
        <f>'F1'!D26</f>
        <v>IAI GIBTHA memiliki rancangan aturan tentang aturan pemberian firmasi yg diberikan pada calon mahasiswa baru. Dalam upaya mewujudkan keadilan dan pemerataan akses pendidikan tinggi, IAI berkomitmen untuk memberikan kesempatan belajar yang seluas-luasnya bagi seluruh lapisan masyarakat, baik dari kalangan mampu maupun kurang mampu. Untuk menopang kebijakan afirmasi mahasiswa, IAI GIBTHA  menyiapkan skema beasiswa KIP Kuliah, IAI juga menyediakan bantuan beasiswa bagi mahasiswa berprestasi maupun mahasiswa dari keluarga kurang mampu melalui kerja sama dengan lembaga sosial milik Yayasan Ibnu Atha’illah.</v>
      </c>
      <c r="D22" s="445" t="s">
        <v>535</v>
      </c>
      <c r="E22" s="280"/>
    </row>
    <row r="23" spans="1:6" ht="409.6" thickBot="1">
      <c r="A23" s="284">
        <f>'F1'!A27</f>
        <v>17</v>
      </c>
      <c r="B23" s="284" t="str">
        <f>'F1'!B27</f>
        <v>4.1</v>
      </c>
      <c r="C23" s="104" t="str">
        <f>'F1'!D27</f>
        <v xml:space="preserve">IAI GIBTHA memiliki rancangan tentang sistem pengelolaan sumber daya manusia dilaksanakan berdasarkan prinsip berdasarkan pada Surat Keputusan Ketua Yayasan Ibnu Atha’illah; Surat Keputusan Ketua Institut Agama Islam Guru Kapuh Ibnu Atha’illah
(IAI GIBTHA); dan Surat Keputusan Ketua mengenai pedoman pengelolaan SDM Institut Agama
Islam Guru Kapuh Ibnu Atha’illah (IAI GIBTHA);. Sistem seleksi/rekrutment, penempatan, pengembangan, retensi, dan pemberhentian dosen dan tenaga kependidikan tercantum pada buku Rancangan Statuta tentang system pengelolaan sumber daya manusia, dan telah dilaksanakan secara konsisten.  </v>
      </c>
      <c r="D23" s="445" t="s">
        <v>536</v>
      </c>
      <c r="E23" s="280"/>
    </row>
    <row r="24" spans="1:6" ht="409.6" thickBot="1">
      <c r="A24" s="284">
        <f>'F1'!A28</f>
        <v>18</v>
      </c>
      <c r="B24" s="284" t="str">
        <f>'F1'!B28</f>
        <v>4.2.1</v>
      </c>
      <c r="C24" s="104" t="str">
        <f>'F1'!D28</f>
        <v>Terdapat NDTPS_ijinbaru = Jumlah dosen tetap pada program studi baru yang terakreditasi minimum: ada 25 orang yg disiapkan untuk 5 prodi yg diuusulkan, yakni: (1) PS Pendidikan Bahasa Arab (PBA)  an. Nurul Amini, M.Pd (S2 Pendidikan Bahasa Arab UII DALWA), Nafisah, M.Pd (S2 Pendidikan Bahasa Arab UII DALWA), Fathia Qonita, M.Pd (S2 Pendidikan Bahasa Arab UII DALWA), Nurul Jannah, M.Pd (S2 Pendidikan Bahasa Arab UII DALWA), Fahrunnisa, M.Pd  (S2 Pendidikan Bahasa Arab UII DALWA) . (2) PS Manajemen Pendidikan Islam an. Dr. Afifafh (S2 Manajemen Pendidikan Islam), Nurwahda Maghfiroh (S2 Manajemen Pendidikan), Sufi Hadi (S2 Manajemen Pendidikan Islam), Tasiah (S2 Manajemen Pendidikan Islam), Nurul Amini (S2.....), Nurul Jannah (S2 ......), Fachri Zulmi (S2 Ekonomi Syariah). 3) PS Ekonomi Syariah (ES), an. Dr. Ir. Syahrial Shaddiq, S.T., M.Eng., M.M., M.Si (S3 Ilmu Ekonomi UII), Dr. Fathurrahman, S. Ag, M. H (S3 Doktoral Ilmu Syariah UIN Antasari), Fachri Zulmi, S. E. I, M. H (S2 Ekonomi Sriah UIN Antasari), Sri Rozana Widya Astuty, S. E, M. E (S2 lmu Ekonomi UNLAM), Halidah. S. E, M. Pd (S2 Manajemen Pendidikan UII Dalwa). 4) PS Pendidikan Agama Islam (PAI), an. DR. Ahmad Suryadi, M. Pd. (S3 Dirasah Islamiyah Konsentras i Pendidikan dan Keguruan UIN Alauddin Makassar), Miftahul Ihsan, M. Pd. (S2 UIN Sunan Kalijaga Yogyakarta), Raudatul Jannah, M. Pd (S2 PAI UIN Antasari), Muhammad Hamdani, M. Pd (S2 PAI UIN Malang), Muhammad Ikhsan, S.Pd, M. Pd (S2 PAI UIN Antasari Banjarmasin).  Semua dosen yg diusulkan berstatus sebagai Dosen Tetap dan memiliki linearitas keilmuan dg program studi yg diusulkan.</v>
      </c>
      <c r="D24" s="446" t="s">
        <v>584</v>
      </c>
      <c r="E24" s="280"/>
      <c r="F24" s="286"/>
    </row>
    <row r="25" spans="1:6" ht="157.9" thickBot="1">
      <c r="A25" s="284">
        <f>'F1'!A29</f>
        <v>19</v>
      </c>
      <c r="B25" s="284" t="str">
        <f>'F1'!B29</f>
        <v>4.2.2</v>
      </c>
      <c r="C25" s="104" t="str">
        <f>'F1'!D29</f>
        <v>Terdapat sejumlah calon dosen tetap: 24 orang, sudah memadai dihitung dari rasio 4 PS; dilihat kualifikasi penidididikan, semua sudah S2 (Magister) dengan backgroun keilmuan yang relevan dg prodi yg diusulkan.</v>
      </c>
      <c r="D25" s="445" t="s">
        <v>537</v>
      </c>
      <c r="E25" s="280"/>
    </row>
    <row r="26" spans="1:6" ht="63.4" thickBot="1">
      <c r="A26" s="284">
        <f>'F1'!A30</f>
        <v>20</v>
      </c>
      <c r="B26" s="284" t="str">
        <f>'F1'!B30</f>
        <v>4.2.3</v>
      </c>
      <c r="C26" s="104" t="str">
        <f>'F1'!D30</f>
        <v>Dari 24 Calon DTPS yang diusulkan, ada 4 orang dosen yang berkualifikasi pendidikan Doktor (S3).</v>
      </c>
      <c r="D26" s="445" t="s">
        <v>538</v>
      </c>
      <c r="E26" s="280"/>
    </row>
    <row r="27" spans="1:6" ht="409.6" thickBot="1">
      <c r="A27" s="284">
        <f>'F1'!A31</f>
        <v>21</v>
      </c>
      <c r="B27" s="284">
        <f>'F1'!B31</f>
        <v>4.3</v>
      </c>
      <c r="C27" s="104" t="str">
        <f>'F1'!D31</f>
        <v>Ada keterangan IAI GIBTHA memiliki perencanaan pengembangan SDM Dosen meliputi: (1) Pengembangan dan Pembinaan Karir; Dalam pengembangan sumber daya manusia (dosen) mengacu pada tri dharma perguruan tinggi yaitu: Untuk studi lanjut S3 semua pengajar diberi kesempatan baik dengan biaya dari internal IAI maupun dari luar IAI sesuai dengan peraturan yang berlaku. Dalam 10 Tahun akan memberikan kesempatan pada dosen untuk kuliah S3 tiap Tahun 3-5 Dosen, sehingga dalam 10 di targetkan 60% Dosen sudah Kuliah S3. (2) Pengembangan kompetensi khusus; meliputi pembinaan intern dan ekstern melalui pimpinan prodi antara lain secara selektif dengan mempercayakan kepada dosen untuk mengkoordinir berbagai kegiatan ekstra prodi.</v>
      </c>
      <c r="D27" s="445" t="s">
        <v>539</v>
      </c>
      <c r="E27" s="280"/>
    </row>
    <row r="28" spans="1:6" ht="173.65" thickBot="1">
      <c r="A28" s="284">
        <f>'F1'!A32</f>
        <v>22</v>
      </c>
      <c r="B28" s="284" t="str">
        <f>'F1'!B32</f>
        <v>4.4.1</v>
      </c>
      <c r="C28" s="104" t="str">
        <f>'F1'!D32</f>
        <v>Terdapat NTK = Jumlah tenaga kependidikan IAI GIBTHA  ada  5 orang untuk melayani 4 PS, keberadaan tendik masih minim; pemenuhan tendik mestinya disesuaikan dg kebutuhan sebagai: Pustakawaan, Laboran, Oprartor, dan Teknisi</v>
      </c>
      <c r="D28" s="447" t="s">
        <v>540</v>
      </c>
      <c r="E28" s="280"/>
    </row>
    <row r="29" spans="1:6" ht="110.25" customHeight="1" thickBot="1">
      <c r="A29" s="284">
        <f>'F1'!A33</f>
        <v>23</v>
      </c>
      <c r="B29" s="284" t="str">
        <f>'F1'!B33</f>
        <v>4.4.2</v>
      </c>
      <c r="C29" s="104" t="str">
        <f>'F1'!D33</f>
        <v xml:space="preserve">Terdapat A = Jumlah tenaga administrasi berkualifikasi minimum S-1: 5, semua lulusan S1 (sarjana); untuk melayani 4 PS </v>
      </c>
      <c r="D29" s="447" t="s">
        <v>541</v>
      </c>
      <c r="E29" s="280"/>
    </row>
    <row r="30" spans="1:6" ht="79.150000000000006" thickBot="1">
      <c r="A30" s="284">
        <f>'F1'!A34</f>
        <v>24</v>
      </c>
      <c r="B30" s="284" t="str">
        <f>'F1'!B34</f>
        <v>4.4.3</v>
      </c>
      <c r="C30" s="104" t="str">
        <f>'F1'!D34</f>
        <v xml:space="preserve">Terdapat L = Jumlah tenaga laboran/ teknisi berkualifikasi S1/SMA: 3 orang untuk 4 PS yang diusulkan </v>
      </c>
      <c r="D30" s="445" t="s">
        <v>542</v>
      </c>
      <c r="E30" s="280"/>
    </row>
    <row r="31" spans="1:6" ht="94.9" thickBot="1">
      <c r="A31" s="284">
        <f>'F1'!A35</f>
        <v>25</v>
      </c>
      <c r="B31" s="284" t="str">
        <f>'F1'!B35</f>
        <v>4.4.4</v>
      </c>
      <c r="C31" s="104" t="str">
        <f>'F1'!D35</f>
        <v>Terdapat A = Jumlah tenaga perpustakaan berkualifikasi minimum S-2:  0 orang tenaga perpustakaan.  KURANG TERDESKRIPSIKAN</v>
      </c>
      <c r="D31" s="447" t="s">
        <v>543</v>
      </c>
      <c r="E31" s="280"/>
    </row>
    <row r="32" spans="1:6" ht="409.6" thickBot="1">
      <c r="A32" s="284">
        <f>'F1'!A36</f>
        <v>26</v>
      </c>
      <c r="B32" s="284">
        <f>'F1'!B36</f>
        <v>5.0999999999999996</v>
      </c>
      <c r="C32" s="104" t="str">
        <f>'F1'!D36</f>
        <v>Sudah ada penjelasan normatif tentang  penjelasan tentang rancangan Kebijakan dan pedoman akademik IAI GIBTHA mencakup semua elemen standar pendidikan yang dirumuskan secara lengkap dengan substansi baik, seperti: (1) kompetensi lulusan, (2) isi pembelajaran, (3) proses pembelajaran, (4) penilaian pembelajaran, (5) dosen dan tenaga kependidikan, (6) sarana dan prasarana pembelajaran, (7) pengelolaan pembelajaran, dan (8) pembiayaan pembelajaran. Penjelasannya masih normatif, karena memang belum dilaksanakan. (cek kembali saat visitasi)</v>
      </c>
      <c r="D32" s="445" t="s">
        <v>544</v>
      </c>
      <c r="E32" s="280"/>
    </row>
    <row r="33" spans="1:5" ht="362.65" thickBot="1">
      <c r="A33" s="284">
        <f>'F1'!A37</f>
        <v>27</v>
      </c>
      <c r="B33" s="284">
        <f>'F1'!B37</f>
        <v>5.2</v>
      </c>
      <c r="C33" s="104" t="str">
        <f>'F1'!D37</f>
        <v xml:space="preserve">Kebijakan IAI GIBTHA dalam pengembangan kurikulum didasarkan pada STATUTA dan Panduan Akademik IAI berdasarkan SK Nomor :............... harus mendukung terhadap pengembangan Kurikulum tingkat perguruan tinggi. Didalamnya ada penjelasan tentang rancangan: (1) kebijakan, (2) pedoman pengembangan kurikulum, dan (3) unit kerja/ fungsi organisasi yang memfasilitasi program studi untuk melakukan kegiatan  pengembangan kurikulum.  </v>
      </c>
      <c r="D33" s="447" t="s">
        <v>545</v>
      </c>
      <c r="E33" s="280"/>
    </row>
    <row r="34" spans="1:5" ht="409.6" thickBot="1">
      <c r="A34" s="284">
        <f>'F1'!A38</f>
        <v>28</v>
      </c>
      <c r="B34" s="284">
        <f>'F1'!B38</f>
        <v>5.3</v>
      </c>
      <c r="C34" s="104" t="str">
        <f>'F1'!D38</f>
        <v xml:space="preserve">IAI GIBTHAmelaksanakan kebebasan akademik, kebebasan mimbar akademik, dan otonomi keilmuan melalui pengaturan atas jaminan pengakuan, penghormatan, dan pemenuhan hal itu secara eksplisit tertuang dalam SK ......... di dalamnya  memuat Kebijakan Akademik STAI, Peraturan Akademik  bidang Pendidikan, Penelitian, dan Pengabdian kepada Masyarakat, Standar Akademik, dan Renstra, didalamnya mengatur ketiga unsur suasana akademik yang dinyatakan secara jelas yang mencakup unsur: (1) kebebasan akademik, (2) kebebasan mimbar akademik, dan (3) otonomi keilmuan. Walaupun penjelasannya normatif. Masing-masing dijelaskan cukup memadai, dengan data cukup. </v>
      </c>
      <c r="D34" s="447" t="s">
        <v>546</v>
      </c>
      <c r="E34" s="280"/>
    </row>
    <row r="35" spans="1:5" ht="409.6" thickBot="1">
      <c r="A35" s="284">
        <f>'F1'!A39</f>
        <v>29</v>
      </c>
      <c r="B35" s="284">
        <f>'F1'!B39</f>
        <v>6.1</v>
      </c>
      <c r="C35" s="104" t="str">
        <f>'F1'!D39</f>
        <v>Ada penjelasan normatif  IAI GIBTHA memiliki rancangan kebijakan penelitian berupa berdasarkan Buku Panduan Penelitian IAI  yang dikuatkan dengan SK Ketua tentang penelitian  yang mencakup semua elemen standar penelitian yang dirumuskan secara lengkap dengan substansi baik.  Lembaga sudah memeiliki konsep aturanmeliputi:  Rencana Induk Penelitian (RIP) dan Rencana Strategis (Renstra) Pengabdian Kepada Masyarakat, Pedoman Pelaksanaan Penelitian Dan Pengabdian Kepada Masyarakat, Penetapan Roadmap Penelitian dan Pengabdian, dan Pembentukan Kelompok Riset (cek kembali saat visitasi)</v>
      </c>
      <c r="D35" s="445" t="s">
        <v>547</v>
      </c>
      <c r="E35" s="280"/>
    </row>
    <row r="36" spans="1:5" ht="378.4" thickBot="1">
      <c r="A36" s="284">
        <f>'F1'!A40</f>
        <v>30</v>
      </c>
      <c r="B36" s="284">
        <f>'F1'!B40</f>
        <v>7.1</v>
      </c>
      <c r="C36" s="104" t="str">
        <f>'F1'!D40</f>
        <v xml:space="preserve">IAI GIBTHA yang diusulkan yang memiliki rancangan kebijakan PkM berupa buku panduan pengabdian SK .......... tentang PkM yang mencakup semua elemen standar PkM yang dirumuskan secara  cukup baik. Lembaga sudah memeiliki konsep aturanmeliputi:  Rencana Induk Penelitian (RIP) dan Rencana Strategis (Renstra) Pengabdian Kepada Masyarakat, Pedoman Pelaksanaan Penelitian Dan Pengabdian Kepada Masyarakat, Penetapan Roadmap Penelitian dan Pengabdian, dan Pembentukan Kelompok Riset.  </v>
      </c>
      <c r="D36" s="447" t="s">
        <v>548</v>
      </c>
      <c r="E36" s="280"/>
    </row>
    <row r="37" spans="1:5" ht="173.65" thickBot="1">
      <c r="A37" s="284">
        <f>'F1'!A41</f>
        <v>31</v>
      </c>
      <c r="B37" s="284" t="str">
        <f>'F1'!B41</f>
        <v>8.1.1</v>
      </c>
      <c r="C37" s="104" t="str">
        <f>'F1'!D41</f>
        <v>Lahan kampus yg dimimilki IAI GIBTHA  = 22142 m2, beralamat:  Desa Wasah Tengah, RT 004 RW 002, Kecamatan Simpur, Kabupaten Hulu Sungai Selatan, Provinsi Kalimantan Selatan, status MILIK SENDIRI dan BELUM BERSERTIFIKAT</v>
      </c>
      <c r="D37" s="447" t="s">
        <v>549</v>
      </c>
      <c r="E37" s="312"/>
    </row>
    <row r="38" spans="1:5" ht="126">
      <c r="A38" s="284">
        <f>'F1'!A42</f>
        <v>32</v>
      </c>
      <c r="B38" s="284" t="str">
        <f>'F1'!B42</f>
        <v>8.1.2</v>
      </c>
      <c r="C38" s="104" t="str">
        <f>'F1'!D42</f>
        <v>Lahan kampus yg dimiliki sudah sangat memadai, Berlokasi beralamat:  DDesa Wasah Tengah, RT 004 RW 002, Kecamatan Simpur, Kabupaten Hulu Sungai Selatan, Provinsi Kalimantan Selatan</v>
      </c>
      <c r="D38" s="448" t="s">
        <v>550</v>
      </c>
      <c r="E38" s="312"/>
    </row>
    <row r="39" spans="1:5" ht="110.25">
      <c r="A39" s="284">
        <f>'F1'!A43</f>
        <v>33</v>
      </c>
      <c r="B39" s="284" t="str">
        <f>'F1'!B43</f>
        <v>8.1.3</v>
      </c>
      <c r="C39" s="104" t="str">
        <f>'F1'!D43</f>
        <v>Status tanah MILIK SENDIRI (klarifikasi saat AL)</v>
      </c>
      <c r="D39" s="449" t="s">
        <v>551</v>
      </c>
      <c r="E39" s="280"/>
    </row>
    <row r="40" spans="1:5" ht="47.25">
      <c r="A40" s="284">
        <f>'F1'!A44</f>
        <v>34</v>
      </c>
      <c r="B40" s="284" t="str">
        <f>'F1'!B44</f>
        <v>8.2.1</v>
      </c>
      <c r="C40" s="104" t="str">
        <f>'F1'!D44</f>
        <v>Luas ruang kuliah 224 m2, minimal 600 m2 (perlu korfirmas)</v>
      </c>
      <c r="D40" s="449" t="s">
        <v>552</v>
      </c>
      <c r="E40" s="313"/>
    </row>
    <row r="41" spans="1:5" ht="47.25">
      <c r="A41" s="284">
        <f>'F1'!A45</f>
        <v>35</v>
      </c>
      <c r="B41" s="284" t="str">
        <f>'F1'!B45</f>
        <v>8.2.2</v>
      </c>
      <c r="C41" s="104" t="str">
        <f>'F1'!D45</f>
        <v>Ruang dosen luas 56 m2, minmal 180 m2 (perlu konfirmasi)</v>
      </c>
      <c r="D41" s="449" t="s">
        <v>553</v>
      </c>
      <c r="E41" s="280"/>
    </row>
    <row r="42" spans="1:5" ht="63.4" thickBot="1">
      <c r="A42" s="284">
        <f>'F1'!A46</f>
        <v>36</v>
      </c>
      <c r="B42" s="284" t="str">
        <f>'F1'!B46</f>
        <v>8.2.3</v>
      </c>
      <c r="C42" s="104" t="str">
        <f>'F1'!D46</f>
        <v>Tersedia luas ruang administrasi dengan luas: 56 m2, minimal 60 m2 (perlu konfirmasi)</v>
      </c>
      <c r="D42" s="450" t="s">
        <v>554</v>
      </c>
      <c r="E42" s="280"/>
    </row>
    <row r="43" spans="1:5" ht="47.25">
      <c r="A43" s="284">
        <f>'F1'!A47</f>
        <v>37</v>
      </c>
      <c r="B43" s="284" t="str">
        <f>'F1'!B47</f>
        <v>8.2.4</v>
      </c>
      <c r="C43" s="104" t="str">
        <f>'F1'!D47</f>
        <v>Ruang perpustakaan luas  450 m2 (perlu konfirmasi)</v>
      </c>
      <c r="D43" s="451" t="s">
        <v>555</v>
      </c>
      <c r="E43" s="280"/>
    </row>
    <row r="44" spans="1:5" ht="220.5">
      <c r="A44" s="284">
        <f>'F1'!A48</f>
        <v>38</v>
      </c>
      <c r="B44" s="284" t="str">
        <f>'F1'!B48</f>
        <v>8.2.5</v>
      </c>
      <c r="C44" s="104" t="str">
        <f>'F1'!D48</f>
        <v>Disebutkan ada 5 ruang Laboratorium untuk persiapan 4 PS, yakni Laboratorium Micro Teaching, Laboratorium Bahasa, Laboratorium Komputer, Laboratorium Mini Perbankan, Laboratorium Sidang Semu, dan Laboratoriumibadah; semua memiliki luas 56 m2, dalam kondisi terawat baik.</v>
      </c>
      <c r="D44" s="452" t="s">
        <v>556</v>
      </c>
      <c r="E44" s="280"/>
    </row>
    <row r="45" spans="1:5" ht="79.150000000000006" thickBot="1">
      <c r="A45" s="284">
        <f>'F1'!A49</f>
        <v>39</v>
      </c>
      <c r="B45" s="284" t="str">
        <f>'F1'!B49</f>
        <v>8.3.1</v>
      </c>
      <c r="C45" s="104" t="str">
        <f>'F1'!D49</f>
        <v>Untuk 4 PS yakni: PBA, Manajemen Pendidikan Islam, Ekonomi Syariah dan PAI memiliki koleksi buku 1750 judul</v>
      </c>
      <c r="D45" s="445" t="s">
        <v>557</v>
      </c>
      <c r="E45" s="280"/>
    </row>
    <row r="46" spans="1:5" ht="47.65" thickBot="1">
      <c r="A46" s="284">
        <f>'F1'!A50</f>
        <v>40</v>
      </c>
      <c r="B46" s="284" t="str">
        <f>'F1'!B50</f>
        <v>8.3.2</v>
      </c>
      <c r="C46" s="104" t="str">
        <f>'F1'!D50</f>
        <v xml:space="preserve">IAI GIBTHA memiliki 1750 judul buku untuk 4 PS yang diusulkan. </v>
      </c>
      <c r="D46" s="445" t="s">
        <v>558</v>
      </c>
      <c r="E46" s="280"/>
    </row>
    <row r="47" spans="1:5" ht="63.4" thickBot="1">
      <c r="A47" s="284">
        <f>'F1'!A51</f>
        <v>41</v>
      </c>
      <c r="B47" s="284" t="str">
        <f>'F1'!B51</f>
        <v>8.3.3</v>
      </c>
      <c r="C47" s="104" t="str">
        <f>'F1'!D51</f>
        <v>Ada penjelasan jurnal ilmiah untuk 4 PS yang diusulkan sebanyak 20 judul</v>
      </c>
      <c r="D47" s="445" t="s">
        <v>559</v>
      </c>
      <c r="E47" s="280"/>
    </row>
    <row r="48" spans="1:5" ht="47.65" thickBot="1">
      <c r="A48" s="284">
        <f>'F1'!A52</f>
        <v>42</v>
      </c>
      <c r="B48" s="284" t="str">
        <f>'F1'!B52</f>
        <v>8.3.4</v>
      </c>
      <c r="C48" s="104" t="str">
        <f>'F1'!D52</f>
        <v>Koleksi atau akses jurnal (terakreditasi) ada 4 jurnal. CEK KEMBALI</v>
      </c>
      <c r="D48" s="445" t="s">
        <v>560</v>
      </c>
      <c r="E48" s="280"/>
    </row>
    <row r="49" spans="1:6" ht="268.14999999999998" thickBot="1">
      <c r="A49" s="284">
        <f>'F1'!A53</f>
        <v>43</v>
      </c>
      <c r="B49" s="284" t="str">
        <f>'F1'!B53</f>
        <v>8.3.5</v>
      </c>
      <c r="C49" s="104" t="str">
        <f>'F1'!D53</f>
        <v xml:space="preserve">Tersedia Sarana dan prasarana cukup untuk IAI GIBTHA, dengan kuantitas dan kualitas yang  baik untuk penyelenggaraan kegiatan pembelajaran dan kegiatan penunjang pembelajaran. Anatara lain: Ruang Perkuliahan, Ruang Lab. Komputer, Ruang PK, Bahasa, Sarana Olahraga, Ruang ketua, Ruang Tata Usaha, Ruang Perpustakaan, Tempat Ibadah, Tempat Parkir, dan dan taman. </v>
      </c>
      <c r="D49" s="445" t="s">
        <v>561</v>
      </c>
      <c r="E49" s="280"/>
    </row>
    <row r="50" spans="1:6" ht="79.150000000000006" thickBot="1">
      <c r="A50" s="284">
        <f>'F1'!A54</f>
        <v>44</v>
      </c>
      <c r="B50" s="284" t="str">
        <f>'F1'!B54</f>
        <v>8.4.1</v>
      </c>
      <c r="C50" s="104" t="str">
        <f>'F1'!D54</f>
        <v>Masih kurang ada penjelasan secara lengkap tentang rancangan ssistem pengelolaan</v>
      </c>
      <c r="D50" s="447" t="s">
        <v>562</v>
      </c>
      <c r="E50" s="280"/>
    </row>
    <row r="51" spans="1:6" ht="331.15" thickBot="1">
      <c r="A51" s="284">
        <f>'F1'!A55</f>
        <v>45</v>
      </c>
      <c r="B51" s="284" t="str">
        <f>'F1'!B55</f>
        <v>8.4.2</v>
      </c>
      <c r="C51" s="104" t="str">
        <f>'F1'!D55</f>
        <v>IAI GIBTHA memilki konsep rencana induk pengembangan lahan dan prasarana pembelajaran, Dasar Kebijakan dalam pengembangan sarana dan prasarana di lingkungan IAI  didasarkan pada: SK ........, didalamnya berisi aturan tentang Sistem Informasi, Sarpras, Aspek Pengelolaan Sarpras, Kebutuhan Hardware, Kebutuhan Software, E-procurement, dan  SIM Sarpras. Hal ini dilakukan adalah dalam upaya mendukung tercapainya visi dan misi lembaga.</v>
      </c>
      <c r="D51" s="447" t="s">
        <v>563</v>
      </c>
      <c r="E51" s="280"/>
    </row>
    <row r="52" spans="1:6" ht="252.4" thickBot="1">
      <c r="A52" s="284">
        <f>'F1'!A56</f>
        <v>46</v>
      </c>
      <c r="B52" s="284" t="str">
        <f>'F1'!B56</f>
        <v>8.4.3</v>
      </c>
      <c r="C52" s="104" t="str">
        <f>'F1'!D56</f>
        <v>IAI GIBTHA  memilki konsep rencana induk pengembangan sarana pembelajaran berdasarkan pada: SK ......, didalamnya berisi aturan tentang Sistem Informasi, Sarpras, Aspek Pengelolaan Sarpras, Kebutuhan Hardware, Kebutuhan Software, E-procurement, dan  SIM Sarpras. Hal ini dilakukan adalah dalam upaya mendukung tercapainya visi dan misi lembaga.</v>
      </c>
      <c r="D52" s="447" t="s">
        <v>564</v>
      </c>
      <c r="E52" s="280"/>
    </row>
    <row r="53" spans="1:6" ht="409.6" thickBot="1">
      <c r="A53" s="284">
        <f>'F1'!A57</f>
        <v>47</v>
      </c>
      <c r="B53" s="284" t="str">
        <f>'F1'!B57</f>
        <v>9.1.1</v>
      </c>
      <c r="C53" s="104" t="str">
        <f>'F1'!D57</f>
        <v>Yayasan Ibnu Atha’illah merupakan organisasi yang mendukung santri Ibnu Atha’illah, yang terbagi dalam lima departemen, yaitu 1) Departemen Humas, yang fokus pada interaksi masyarakat baik secara daring maupun luring, serta kerjasama dengan pihak- pihak di luar Pondok Pesantren Ibnu Atha’illah. 2) Departemen Dakwah, yang berhubungan dengan pengajaran kitab kuning di daerah atau kabupaten, serta para da’i yang siap untuk menyebarluaskan dakwah Islam ke berbagai penjuru. 3) Departemen Pendidikan dan Pelatihan, yang berhubungan dengan pendampingan organisasi dan pengembangan pendidikan di Pondok Pesantren Ibnu Atha’illah di berbagai lokasi, termasuk juga pendirian perguruan tinggi Institut Agama Islam (IAI) Guru Kapuh Ibnu Atha’illah (GIBTHA). 4) Departemen Ekonomi dan Bisnis, yang terlibat dalam kemandirian dan usaha lembaga. 5) Departemen Sekretariat, yang bertanggung jawab untuk mendata alumni santri dari Pondok Pesantren Ibnu Atha’illah. Jumlah Aset lembaga yg dimilki saat ini Rp. 4.706.457.247</v>
      </c>
      <c r="D53" s="445" t="s">
        <v>565</v>
      </c>
      <c r="E53" s="280"/>
    </row>
    <row r="54" spans="1:6" ht="189.4" thickBot="1">
      <c r="A54" s="284">
        <f>'F1'!A58</f>
        <v>48</v>
      </c>
      <c r="B54" s="284" t="str">
        <f>'F1'!B58</f>
        <v>9.1.2</v>
      </c>
      <c r="C54" s="104" t="str">
        <f>'F1'!D58</f>
        <v>Laporan keuangan Yayasan untuk tahun yang berakhir per 31 desember 2025 sebagaimana terlampir yang terdiri dari
a) Laporan posisi keuangan
b) Laporan aktivitas
c) Laporan arus kas
d) Catatan atas laporan keuangan</v>
      </c>
      <c r="D54" s="445" t="s">
        <v>566</v>
      </c>
      <c r="E54" s="280"/>
    </row>
    <row r="55" spans="1:6" ht="299.64999999999998" thickBot="1">
      <c r="A55" s="284">
        <f>'F1'!A59</f>
        <v>49</v>
      </c>
      <c r="B55" s="284" t="str">
        <f>'F1'!B59</f>
        <v>9.2.1</v>
      </c>
      <c r="C55" s="104" t="str">
        <f>'F1'!D59</f>
        <v>IAI GIBTHA memiliki kebijakan pengelolaan dana yang mencakup aspek: (1) Rencana penerimaan dan pengalokasian, (2) Penyerapan dan penggunaan, (3) Monitoring &amp; evaluasi, (4) Pelaporan, (5) Audit, dan (6) Pertanggungjawaban kepada pemangku kepentingan, serta mekanisme yang mengatur keterlibatan seluruh unit kerja dalam pengelolaan dana institusi.</v>
      </c>
      <c r="D55" s="445" t="s">
        <v>567</v>
      </c>
      <c r="E55" s="280"/>
    </row>
    <row r="56" spans="1:6" ht="409.6" thickBot="1">
      <c r="A56" s="284">
        <f>'F1'!A60</f>
        <v>50</v>
      </c>
      <c r="B56" s="284" t="str">
        <f>'F1'!B60</f>
        <v>9.2.2</v>
      </c>
      <c r="C56" s="104" t="str">
        <f>'F1'!D60</f>
        <v>Proyeksi Arus Kas: IAI GIBTHA sudah menunjukkan sirkulasi keuangan secara:  (1) rinci, (2) lengkap, (3) realistik, (4) logis, dan (5) konsisten dengan analisis pada studi kelayakan, serta tidak ada saldo negatif, dan dilengkapi dengan dokumen pendukung, terutama untuk pengeluaran investasi pembangunan gedung dan peralatan pendidikan. Jumlah Pendapatan tahun 2025 Rp. 29.900.095.122, Posisi keuangan, kegiatan finansial dan laporan aliran kas finansial Yayasan Ibnu Atha’illah dalam mendukung operasi perguruan tinggi yang aman dan sehat</v>
      </c>
      <c r="D56" s="445" t="s">
        <v>568</v>
      </c>
      <c r="E56" s="280"/>
    </row>
    <row r="57" spans="1:6" ht="110.65" thickBot="1">
      <c r="A57" s="284">
        <f>'F1'!A61</f>
        <v>51</v>
      </c>
      <c r="B57" s="284" t="str">
        <f>'F1'!B61</f>
        <v>9.2.2.1</v>
      </c>
      <c r="C57" s="104" t="str">
        <f>'F1'!D61</f>
        <v>Ada informasi tentang rencana penerimaan dari sumber mahasiswa Rp. 8.190.000.000, dari total  keseluruhan dana mmasuk yakni: Rp. 45,634,357,188</v>
      </c>
      <c r="D57" s="445" t="s">
        <v>569</v>
      </c>
      <c r="E57" s="280"/>
    </row>
    <row r="58" spans="1:6" ht="330" customHeight="1" thickBot="1">
      <c r="A58" s="284">
        <f>'F1'!A62</f>
        <v>52</v>
      </c>
      <c r="B58" s="284" t="str">
        <f>'F1'!B62</f>
        <v>9.2.2.2</v>
      </c>
      <c r="C58" s="104" t="str">
        <f>'F1'!D62</f>
        <v>IAI GIBTHA memiliki rencana penggunaan dana yang realistik untuk penyelenggaraan proses pembelajaran, penelitian dan PkM seluruh program studi dan rencana investasi yang memadai selama minimal 3 tahun ke depan</v>
      </c>
      <c r="D58" s="445" t="s">
        <v>570</v>
      </c>
      <c r="E58" s="280"/>
    </row>
    <row r="59" spans="1:6" ht="16.149999999999999" thickBot="1">
      <c r="A59" s="281"/>
      <c r="D59" s="319"/>
    </row>
    <row r="60" spans="1:6" ht="32.25" customHeight="1">
      <c r="A60" s="414" t="s">
        <v>391</v>
      </c>
      <c r="B60" s="414"/>
      <c r="C60" s="414"/>
      <c r="D60" s="414"/>
      <c r="E60" s="414"/>
    </row>
    <row r="61" spans="1:6" ht="15.75" customHeight="1">
      <c r="A61" s="196"/>
      <c r="B61" s="196"/>
      <c r="C61" s="196"/>
      <c r="D61" s="196"/>
      <c r="E61" s="196"/>
    </row>
    <row r="62" spans="1:6" ht="15.75" customHeight="1">
      <c r="A62" s="21"/>
      <c r="B62" s="21"/>
      <c r="C62" s="21"/>
      <c r="D62" s="419" t="s">
        <v>467</v>
      </c>
      <c r="E62" s="420"/>
      <c r="F62" s="192"/>
    </row>
    <row r="63" spans="1:6">
      <c r="A63" s="21"/>
      <c r="B63" s="21"/>
      <c r="C63" s="21"/>
      <c r="D63" s="21"/>
      <c r="E63" s="21"/>
    </row>
    <row r="64" spans="1:6">
      <c r="A64" s="155" t="s">
        <v>173</v>
      </c>
      <c r="B64" s="32"/>
      <c r="C64" s="32"/>
      <c r="D64" s="412" t="s">
        <v>92</v>
      </c>
      <c r="E64" s="412"/>
    </row>
    <row r="65" spans="1:6" ht="20.25" customHeight="1">
      <c r="A65" s="155" t="s">
        <v>466</v>
      </c>
      <c r="B65" s="307"/>
      <c r="C65" s="32"/>
      <c r="D65" s="32"/>
      <c r="E65" s="21"/>
    </row>
    <row r="66" spans="1:6" ht="20.25" customHeight="1">
      <c r="A66" s="155"/>
      <c r="B66" s="307"/>
      <c r="C66" s="32"/>
      <c r="D66" s="32"/>
      <c r="E66" s="21"/>
    </row>
    <row r="67" spans="1:6" ht="19.5" customHeight="1">
      <c r="A67" s="155"/>
      <c r="B67" s="156"/>
      <c r="C67" s="21"/>
      <c r="D67" s="413"/>
      <c r="E67" s="413"/>
      <c r="F67" s="193"/>
    </row>
    <row r="68" spans="1:6">
      <c r="A68" s="32"/>
      <c r="B68" s="32"/>
      <c r="C68" s="21"/>
      <c r="D68" s="413" t="s">
        <v>456</v>
      </c>
      <c r="E68" s="413"/>
    </row>
    <row r="69" spans="1:6">
      <c r="A69" s="32"/>
      <c r="B69" s="32"/>
      <c r="C69" s="289"/>
      <c r="D69" s="287"/>
      <c r="E69" s="288"/>
      <c r="F69" s="290"/>
    </row>
    <row r="70" spans="1:6">
      <c r="A70" s="32"/>
      <c r="B70" s="32"/>
      <c r="C70" s="289"/>
      <c r="D70" s="287"/>
      <c r="E70" s="288"/>
      <c r="F70" s="290"/>
    </row>
    <row r="71" spans="1:6">
      <c r="A71" s="32"/>
      <c r="B71" s="32"/>
      <c r="C71" s="289"/>
      <c r="D71" s="287"/>
      <c r="E71" s="288"/>
      <c r="F71" s="290"/>
    </row>
    <row r="72" spans="1:6">
      <c r="A72" s="32"/>
      <c r="B72" s="32"/>
      <c r="C72" s="21"/>
      <c r="D72" s="287"/>
      <c r="E72" s="288"/>
      <c r="F72" s="193"/>
    </row>
    <row r="73" spans="1:6">
      <c r="A73" s="417" t="s">
        <v>465</v>
      </c>
      <c r="B73" s="418"/>
      <c r="C73" s="418"/>
      <c r="D73" s="413" t="s">
        <v>464</v>
      </c>
      <c r="E73" s="413"/>
    </row>
    <row r="74" spans="1:6">
      <c r="A74" s="21"/>
      <c r="B74" s="21"/>
      <c r="C74" s="21"/>
      <c r="D74" s="317"/>
      <c r="E74" s="288"/>
    </row>
    <row r="75" spans="1:6">
      <c r="A75" s="21"/>
      <c r="B75" s="21"/>
      <c r="C75" s="291"/>
      <c r="D75" s="288"/>
      <c r="E75" s="288"/>
    </row>
    <row r="76" spans="1:6">
      <c r="A76" s="416"/>
      <c r="B76" s="416"/>
      <c r="C76" s="416"/>
      <c r="D76" s="288"/>
      <c r="E76" s="288"/>
    </row>
    <row r="77" spans="1:6">
      <c r="D77" s="413"/>
      <c r="E77" s="413"/>
    </row>
    <row r="78" spans="1:6">
      <c r="A78" s="21"/>
      <c r="B78" s="21"/>
      <c r="C78" s="21"/>
      <c r="D78" s="288"/>
      <c r="E78" s="288"/>
    </row>
    <row r="79" spans="1:6">
      <c r="A79" s="21"/>
      <c r="B79" s="21"/>
      <c r="C79" s="21"/>
      <c r="D79" s="288"/>
      <c r="E79" s="288"/>
    </row>
    <row r="80" spans="1:6">
      <c r="A80" s="21"/>
      <c r="B80" s="21"/>
      <c r="C80" s="21"/>
      <c r="D80" s="21"/>
      <c r="E80" s="21"/>
    </row>
    <row r="81" spans="1:5">
      <c r="A81" s="21"/>
      <c r="B81" s="21"/>
      <c r="C81" s="21"/>
      <c r="D81" s="21"/>
      <c r="E81" s="21"/>
    </row>
    <row r="82" spans="1:5">
      <c r="A82" s="21"/>
      <c r="B82" s="21"/>
      <c r="C82" s="21"/>
      <c r="D82" s="21"/>
      <c r="E82" s="21"/>
    </row>
    <row r="83" spans="1:5">
      <c r="A83" s="21"/>
      <c r="B83" s="21"/>
      <c r="C83" s="21"/>
      <c r="D83" s="21"/>
      <c r="E83" s="21"/>
    </row>
    <row r="84" spans="1:5">
      <c r="A84" s="21"/>
      <c r="B84" s="21"/>
      <c r="C84" s="21"/>
      <c r="D84" s="21"/>
      <c r="E84" s="21"/>
    </row>
    <row r="85" spans="1:5">
      <c r="A85" s="21"/>
      <c r="B85" s="21"/>
      <c r="C85" s="21"/>
      <c r="D85" s="21"/>
      <c r="E85" s="21"/>
    </row>
    <row r="86" spans="1:5">
      <c r="A86" s="21"/>
      <c r="B86" s="21"/>
      <c r="C86" s="21"/>
      <c r="D86" s="21"/>
      <c r="E86" s="21"/>
    </row>
    <row r="87" spans="1:5">
      <c r="A87" s="21"/>
      <c r="B87" s="21"/>
      <c r="C87" s="21"/>
      <c r="D87" s="21"/>
      <c r="E87" s="21"/>
    </row>
  </sheetData>
  <sheetProtection formatColumns="0" formatRows="0" selectLockedCells="1"/>
  <mergeCells count="13">
    <mergeCell ref="A1:E1"/>
    <mergeCell ref="D64:E64"/>
    <mergeCell ref="D67:E67"/>
    <mergeCell ref="D73:E73"/>
    <mergeCell ref="D77:E77"/>
    <mergeCell ref="A5:E5"/>
    <mergeCell ref="A3:E3"/>
    <mergeCell ref="A60:E60"/>
    <mergeCell ref="A76:C76"/>
    <mergeCell ref="A73:C73"/>
    <mergeCell ref="A4:E4"/>
    <mergeCell ref="D62:E62"/>
    <mergeCell ref="D68:E68"/>
  </mergeCells>
  <phoneticPr fontId="5" type="noConversion"/>
  <pageMargins left="0.74803149606299213" right="0.74803149606299213" top="0.98425196850393704" bottom="0.74803149606299213" header="0.31496062992125984" footer="0.31496062992125984"/>
  <pageSetup paperSize="9" fitToWidth="0" fitToHeight="0" orientation="portrait" horizontalDpi="360" verticalDpi="360" r:id="rId1"/>
  <headerFooter>
    <oddFooter>&amp;R&amp;P/&amp;N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H84"/>
  <sheetViews>
    <sheetView zoomScale="80" zoomScaleNormal="80" zoomScalePageLayoutView="80" workbookViewId="0">
      <selection activeCell="C39" sqref="C39"/>
    </sheetView>
  </sheetViews>
  <sheetFormatPr defaultColWidth="8.73046875" defaultRowHeight="14.25"/>
  <cols>
    <col min="1" max="1" width="4.1328125" customWidth="1"/>
    <col min="2" max="2" width="6.73046875" customWidth="1"/>
    <col min="3" max="3" width="6.73046875" style="27" customWidth="1"/>
    <col min="4" max="5" width="6.73046875" style="3" customWidth="1"/>
    <col min="6" max="6" width="6.73046875" style="27" customWidth="1"/>
    <col min="7" max="7" width="32.73046875" customWidth="1"/>
    <col min="8" max="8" width="15.265625" customWidth="1"/>
  </cols>
  <sheetData>
    <row r="1" spans="1:8" ht="15.75">
      <c r="A1" s="429" t="s">
        <v>102</v>
      </c>
      <c r="B1" s="430"/>
      <c r="C1" s="430"/>
      <c r="D1" s="430"/>
      <c r="E1" s="430"/>
      <c r="F1" s="430"/>
      <c r="G1" s="430"/>
      <c r="H1" s="430"/>
    </row>
    <row r="2" spans="1:8" s="17" customFormat="1" ht="15.75">
      <c r="A2" s="91"/>
      <c r="B2" s="91"/>
      <c r="C2" s="92"/>
      <c r="D2" s="92"/>
      <c r="E2" s="93"/>
      <c r="F2" s="93"/>
      <c r="G2" s="16"/>
      <c r="H2" s="16"/>
    </row>
    <row r="3" spans="1:8" s="17" customFormat="1" ht="15.75">
      <c r="A3" s="409" t="s">
        <v>91</v>
      </c>
      <c r="B3" s="409"/>
      <c r="C3" s="409"/>
      <c r="D3" s="409"/>
      <c r="E3" s="409"/>
      <c r="F3" s="409"/>
      <c r="G3" s="409"/>
      <c r="H3" s="409"/>
    </row>
    <row r="4" spans="1:8" s="17" customFormat="1" ht="15.75">
      <c r="A4" s="94"/>
      <c r="B4" s="18"/>
      <c r="C4" s="19"/>
      <c r="D4" s="20"/>
      <c r="E4" s="21"/>
      <c r="F4" s="21"/>
      <c r="G4" s="16"/>
      <c r="H4" s="16"/>
    </row>
    <row r="5" spans="1:8" s="17" customFormat="1" ht="15.75">
      <c r="A5" s="117" t="s">
        <v>393</v>
      </c>
      <c r="B5" s="117"/>
      <c r="C5" s="117"/>
      <c r="F5" s="410" t="str">
        <f>Menu!H6</f>
        <v>Yayasan Ibnu Atha’illah</v>
      </c>
      <c r="G5" s="410"/>
      <c r="H5" s="410"/>
    </row>
    <row r="6" spans="1:8" s="17" customFormat="1" ht="15.75" customHeight="1">
      <c r="A6" s="407" t="s">
        <v>112</v>
      </c>
      <c r="B6" s="407"/>
      <c r="C6" s="407"/>
      <c r="F6" s="421">
        <f>Menu!H10</f>
        <v>0</v>
      </c>
      <c r="G6" s="421"/>
      <c r="H6" s="16"/>
    </row>
    <row r="7" spans="1:8" s="17" customFormat="1" ht="15.75" customHeight="1">
      <c r="A7" s="407" t="s">
        <v>113</v>
      </c>
      <c r="B7" s="407"/>
      <c r="C7" s="407"/>
      <c r="F7" s="422" t="str">
        <f>Menu!R24</f>
        <v>24 Mei 2026</v>
      </c>
      <c r="G7" s="422"/>
      <c r="H7" s="16"/>
    </row>
    <row r="8" spans="1:8" ht="15.75">
      <c r="A8" s="108"/>
    </row>
    <row r="9" spans="1:8" ht="46.5" customHeight="1">
      <c r="A9" s="426" t="s">
        <v>103</v>
      </c>
      <c r="B9" s="426"/>
      <c r="C9" s="426"/>
      <c r="D9" s="426"/>
      <c r="E9" s="426"/>
      <c r="F9" s="426"/>
      <c r="G9" s="426"/>
      <c r="H9" s="426"/>
    </row>
    <row r="10" spans="1:8" ht="16.149999999999999" thickBot="1">
      <c r="A10" s="28" t="s">
        <v>16</v>
      </c>
      <c r="C10"/>
      <c r="D10"/>
      <c r="E10"/>
      <c r="F10"/>
    </row>
    <row r="11" spans="1:8" ht="23.25" customHeight="1">
      <c r="A11" s="431" t="s">
        <v>7</v>
      </c>
      <c r="B11" s="433" t="s">
        <v>24</v>
      </c>
      <c r="C11" s="423" t="s">
        <v>20</v>
      </c>
      <c r="D11" s="424"/>
      <c r="E11" s="424"/>
      <c r="F11" s="425"/>
      <c r="G11" s="433" t="s">
        <v>13</v>
      </c>
      <c r="H11" s="427" t="s">
        <v>101</v>
      </c>
    </row>
    <row r="12" spans="1:8" ht="30.75" hidden="1" customHeight="1" thickBot="1">
      <c r="A12" s="432"/>
      <c r="B12" s="434"/>
      <c r="C12" s="109" t="s">
        <v>10</v>
      </c>
      <c r="D12" s="109" t="s">
        <v>11</v>
      </c>
      <c r="E12" s="109"/>
      <c r="F12" s="109" t="s">
        <v>12</v>
      </c>
      <c r="G12" s="434"/>
      <c r="H12" s="428"/>
    </row>
    <row r="13" spans="1:8" ht="44.25" customHeight="1">
      <c r="A13" s="432"/>
      <c r="B13" s="434"/>
      <c r="C13" s="109" t="s">
        <v>27</v>
      </c>
      <c r="D13" s="109" t="s">
        <v>28</v>
      </c>
      <c r="E13" s="109" t="s">
        <v>29</v>
      </c>
      <c r="F13" s="109" t="s">
        <v>12</v>
      </c>
      <c r="G13" s="434"/>
      <c r="H13" s="428"/>
    </row>
    <row r="14" spans="1:8" ht="128.25" customHeight="1">
      <c r="A14" s="110">
        <f>'F1'!A11</f>
        <v>1</v>
      </c>
      <c r="B14" s="111">
        <f>'F1'!B11</f>
        <v>1.1000000000000001</v>
      </c>
      <c r="C14" s="299">
        <v>3.5</v>
      </c>
      <c r="D14" s="299"/>
      <c r="E14" s="112"/>
      <c r="F14" s="148">
        <f>AVERAGE(C14:E14)</f>
        <v>3.5</v>
      </c>
      <c r="G14" s="113" t="str">
        <f>'F3'!D7</f>
        <v>Data sudah dikonfirmasi: Penyusunan Visi, Misi, Tujuan, dan Sasaran Pendirian Institut Ag+A7:E60ama Islam (IAI) Guru Kapuh Ibnu Atha’illah (GHIBTA) dilakukan berdasarkan kajian terhadap tantangan serta kebutuhan yang muncul baik dari lingkungan eksternal maupun internal lembaga. Visi IAI: Menjadi Institut Agama Islam Guru Kapuh Ibnu Atha’illah Yang Unggul dalam memadukan keimanan, nilai Qur’an, adab dan keilmuan serta melahirkan generasi yang berdaya guna bagi umat dan berjiwa entrepreneur. Dalam penyusunan sudah melibatkan pihak internal dan eksternal, spt: Pondok Pesantren (Induk/Afiliasi), Pengguna Lulusan (Alumni &amp; Dunia Kerja), Pemerintah (Kemenag, LLDIKTI, Pemda), Masyarakat/Komunitas Lokal, dan Mitra Kerja Sama (Perguruan Tinggi, NGO &amp; Bank Syariah). Secara konseptual sudah ada kelajalasan arah visi yg diharapkan. Visi cukup realitisk karena adanya dukungan SDM dosen tendik yg memadai, ketersedian sarpras pendukung, serta tata kelola kelembagaan yg disiapkan, Konsep Visi memiliki keterkaitan arah dg mimpi atau keinginan Yayasan, yakni melahirkan generasi unggul yg berilmu pengetahuan, berakhlak al-karimah, dan mampu mengadaptasi perkembangan zaman</v>
      </c>
      <c r="H14" s="314"/>
    </row>
    <row r="15" spans="1:8" ht="104.25" customHeight="1">
      <c r="A15" s="110">
        <f>'F1'!A12</f>
        <v>2</v>
      </c>
      <c r="B15" s="111">
        <f>'F1'!B12</f>
        <v>1.2</v>
      </c>
      <c r="C15" s="300">
        <v>3.5</v>
      </c>
      <c r="D15" s="300"/>
      <c r="E15" s="112"/>
      <c r="F15" s="148">
        <f t="shared" ref="F15" si="0">AVERAGE(C15:E15)</f>
        <v>3.5</v>
      </c>
      <c r="G15" s="320" t="str">
        <f>'F3'!D8</f>
        <v xml:space="preserve">Data sudah dikonfirmasi: Rencana Induk Pengembangan (RIP) IAI Guru Kapuh Ibnu Atha’illah (GHIBTA) 2025–2047 dijelaskan arah pengembangan lembaga menuju visi tahun 2047 dengan uraian sebagai berikut: Pertama, Tahap Forming, Established Institute. tahun 2032 IAI Guru Kapuh Ibnu Atha’illah (GHIBTA) bertransformasi menjadi Institut Agama Islam (IAI) Guru Kapuh Ibnu Atha’illah (GHIBTA). Kedua, Tahap Growing tahun 2032 menuju Universitas yang unggul dalam menghasilkan Ulama, Umaro dan Cendekiawan Muslim Dunia. </v>
      </c>
      <c r="H15" s="314"/>
    </row>
    <row r="16" spans="1:8" ht="87" customHeight="1">
      <c r="A16" s="110">
        <f>'F1'!A13</f>
        <v>3</v>
      </c>
      <c r="B16" s="111" t="str">
        <f>'F1'!B13</f>
        <v>2.1.1</v>
      </c>
      <c r="C16" s="300">
        <v>4</v>
      </c>
      <c r="D16" s="300"/>
      <c r="E16" s="112"/>
      <c r="F16" s="148">
        <f t="shared" ref="F16:F59" si="1">AVERAGE(C16:E16)</f>
        <v>4</v>
      </c>
      <c r="G16" s="113" t="str">
        <f>'F3'!D9</f>
        <v>Data terkonfirmasi: Penyelenggara Institut Agama Islam (IAI) Guru Kapuh Ibnu Atha’illah (GIBTHA) adalah Lembaga Pendidikan Yayasan Ibnu Athaillah Indonesia dengan telah terdaftar di Notaris MARIA SEPTIANI SOFIA, SH., M.KN. tercatat SK. MENKEH &amp; HAM RI No AHU-08705.50.10.2014. TANGGAL 06 NOVEMBER 2014</v>
      </c>
      <c r="H16" s="314"/>
    </row>
    <row r="17" spans="1:8" ht="101.1" customHeight="1">
      <c r="A17" s="110">
        <f>'F1'!A14</f>
        <v>4</v>
      </c>
      <c r="B17" s="111" t="str">
        <f>'F1'!B14</f>
        <v>2.1.2</v>
      </c>
      <c r="C17" s="300">
        <v>4</v>
      </c>
      <c r="D17" s="300"/>
      <c r="E17" s="112"/>
      <c r="F17" s="148">
        <f t="shared" si="1"/>
        <v>4</v>
      </c>
      <c r="G17" s="113" t="str">
        <f>'F3'!D10</f>
        <v>Data sudah dikonfirmasi: Badan Penyelenggara telah memiliki Surat Keputusan Pejabat Berwenang daro Kemenkumham melelui Notaris: MARIA SEPTIANI SOFIA, SH., M.KN.
NOTARIS. PPAT, SK. MENKEH &amp; HAM RI No. AHU-08705.50.10.2014. TANGGAL 06 NOVEMBER 2014 PENGESAHAN PENDIRIAN YAYASAN IBNU ATHA’ILLAH TANGGAL : 06 November 2014. Pada Pasal 3 disebutkan: Yayasan berberak pada bidang Pendidikan meliputi:
Mendirikan Menyelenggarakan lembaga-lembaga pendidikan yang bersifat formal dan nonformal meliputi jenjang pendidikan pra-sekolah sampai tingkat perguruan tinggi atau pascasarjana</v>
      </c>
      <c r="H17" s="314"/>
    </row>
    <row r="18" spans="1:8" ht="381" customHeight="1">
      <c r="A18" s="110">
        <f>'F1'!A15</f>
        <v>5</v>
      </c>
      <c r="B18" s="111" t="str">
        <f>'F1'!B15</f>
        <v>2.2.1</v>
      </c>
      <c r="C18" s="300">
        <v>3</v>
      </c>
      <c r="D18" s="300"/>
      <c r="E18" s="112"/>
      <c r="F18" s="148">
        <f t="shared" si="1"/>
        <v>3</v>
      </c>
      <c r="G18" s="113" t="str">
        <f>'F3'!D11</f>
        <v>Data sudah dikonfirmasi: Rancangan tata pamong yang akan diberlakukan Institut Agama Islam (IAI) Guru Kapuh Ibnu Atha’illah (GIBTHA) bertujuan untuk membangun sistem pengelolaan yang kredibel, transparan, akuntabel, bertanggung jawab, dan adil, sesuai dengan prinsip-prinsip good university governance (GUG); indikator yg dapat diuraikan tentang pelaksanaan tata pemong kredibel terlihat dari:  (1) Kredible, terlihat seluruh proses manajerial dan akademik harus didukung oleh basis empiris (evidence-based) dan justifikasi normatif. (2) Transparan, tercerrmin pada eterbukaan informasi publik (misalnya, laporan keuangan, kebijakan SDM, dan kriteria penerimaan) tetapi juga artikulasi yang eksplisit mengenai mekanisme pengambilan keputusan. (3) Akuntable, tercermin adanya kebijakan yang jelas dan keterbukaan terhadap proses pengambilan keputusan. (4) Bertanggung jawab: secara kelembagaan IAI memiliki alur pendistribusian kerja yg sudah memada. Pilar ini bertugas memastikan institusi tetap mematuhi hukum dan bertanggung jawab secara etis. IPT harus berjalan sesuai dengan aturan yang berlaku di negara, serta lebih dari itu, menggabungkan prinsip Tanggung Jawab Sosial Institusi (TSI) atau Corporate Social Responsibility (CSR), dan (5) Adil; tercermin adanya kesetaraan perlakuan dan objektivitas dalam interaksi antara institusi dengan seluruh civitas academica dan mitra. Ini diwujudkan melalui prosedur yang imparsial dalam pengelolaan sumber daya manusia, pengadaan barang/jasa, dan penentuan hak serta kewajiban.</v>
      </c>
      <c r="H18" s="314"/>
    </row>
    <row r="19" spans="1:8" ht="196.15" customHeight="1">
      <c r="A19" s="110">
        <f>'F1'!A16</f>
        <v>6</v>
      </c>
      <c r="B19" s="111" t="str">
        <f>'F1'!B16</f>
        <v>2.2.2</v>
      </c>
      <c r="C19" s="300">
        <v>3.5</v>
      </c>
      <c r="D19" s="300"/>
      <c r="E19" s="112"/>
      <c r="F19" s="148">
        <f t="shared" si="1"/>
        <v>3.5</v>
      </c>
      <c r="G19" s="113" t="str">
        <f>'F3'!D12</f>
        <v>Fakta Lapangan dan sesuai hasil konfirmasi:  Terdapat gambaran jelas tentang rancangan struktur organisasi IAI GIBTHA  terdiri dari:  1) Rektor, 2)  Wakil Rektor 123, sebagai Penyusun Kebijakan; 3) Ketua  Prodi dan Sekretaris Prodi sebagai pelaksana akademik; 4) LPM (Lembaga Penjaminan Mutu): sebagai pengawas dan penjamin mutu IAI, 5) Perpustakaan sebagai Penunjang Akademik/ Sumber Belajar, 6) Biro keuangan, Biro administrasi sebagai pelaksana administrasi. Ada penjelasan secara detail tentang jobdescription untuk masing-masing unit tersebut.</v>
      </c>
      <c r="H19" s="314"/>
    </row>
    <row r="20" spans="1:8" ht="146.1" customHeight="1">
      <c r="A20" s="110">
        <f>'F1'!A17</f>
        <v>7</v>
      </c>
      <c r="B20" s="111" t="str">
        <f>'F1'!B17</f>
        <v>2.3.1</v>
      </c>
      <c r="C20" s="300">
        <v>3.5</v>
      </c>
      <c r="D20" s="300"/>
      <c r="E20" s="112"/>
      <c r="F20" s="148">
        <f t="shared" si="1"/>
        <v>3.5</v>
      </c>
      <c r="G20" s="113" t="str">
        <f>'F3'!D13</f>
        <v>Sesuai data di lapangan, Terdapat penjelasan secara baik dan memadai tentang  IAI GHIBTA  memiliki rancangan dokumen sistem pengelolaan yang mencakup (1) analisis jabatan dari setiap pengelola yg terpangpang dalam struktur organisasi, (2)  uraian tugas lengkap dari setiap unsur yg ada, dan (3) prosedur kerja yg menggambarkan adanya hubungan timbal balik kerja antara satu unit dg unit lainnya, atasan bawahan. Rancangan program pengembangan kompetensi manajerial berupa: Peningkatan kompetensi manajerial dilakukan dengan mengacu kepada SK Yayasan. Program pengembangan meliputi kegiatan berikut: 1) Program Peningkatan Kompetensi manajerial Pimpinan; khusus untuk peningkatan kompetensi diberikan kepada unsur pimpinan untuk semua unit kerja di lingkungan IAI; 2) Peningkatan manajemen sumber daya manusia, 3) Peningkatan manajemen keuangan, dan 4) Peningkatan manajemen sarana prasarana.</v>
      </c>
      <c r="H20" s="314"/>
    </row>
    <row r="21" spans="1:8" ht="49.15" customHeight="1">
      <c r="A21" s="110">
        <f>'F1'!A18</f>
        <v>8</v>
      </c>
      <c r="B21" s="111" t="str">
        <f>'F1'!B18</f>
        <v>2.3.2</v>
      </c>
      <c r="C21" s="300">
        <v>3.5</v>
      </c>
      <c r="D21" s="300"/>
      <c r="E21" s="112"/>
      <c r="F21" s="148">
        <f t="shared" si="1"/>
        <v>3.5</v>
      </c>
      <c r="G21" s="113" t="str">
        <f>'F3'!D14</f>
        <v>Secara Fakta di lapangan: Rancangan desiminasi/laporan hasil kerja PT secara berkala dirancang secara baik sebagai bukti pertanggungjawaban lembaga terhadap publik, merujuk pada: Standar Nasional Pendidikan Tinggi (SN-Dikti): Diseminasi merupakan bagian dari siklus Penetapan, Pelaksanaan, Evaluasi, Pengendalian, dan Peningkatan (PPEPP) dalam Sistem Penjaminan Mutu Internal (SPMI) perguruan tinggi, dan Peraturan Badan Akreditasi Nasional Perguruan Tinggi (BAN-PT).  Dokumen laporan desiminasi antara lain: 1) Menyajikan bukti otentik kepada pemangku kepentingan (internal dan eksternal) bahwa penyelenggaraan pendidikan telah memenuhi standar mutu nasional dan internasional. 2)  Evaluasi Kinerja: Mengidentifikasi kekuatan dan kelemahan institusi dengan membandingkan hasil aktual terhadap target Rencana Operasional (Renop) 2026– 2031, yang diukur melalui empat kategori indikator: Masukan, Proses, Keluaran, dan Danpak. 3) Berbasis IKU dan 9 Program Strategis sebagai landasan untuk perumusan kebijakan dan perbaikan mutu berkelanjutan.</v>
      </c>
      <c r="H21" s="314"/>
    </row>
    <row r="22" spans="1:8" ht="63" customHeight="1">
      <c r="A22" s="110">
        <f>'F1'!A19</f>
        <v>9</v>
      </c>
      <c r="B22" s="111" t="str">
        <f>'F1'!B19</f>
        <v>2.4.1.1</v>
      </c>
      <c r="C22" s="300">
        <v>3.5</v>
      </c>
      <c r="D22" s="300"/>
      <c r="E22" s="112"/>
      <c r="F22" s="148">
        <f t="shared" si="1"/>
        <v>3.5</v>
      </c>
      <c r="G22" s="113" t="str">
        <f>'F3'!D15</f>
        <v>Fakta Lapangan: Terdapat 4 PS yang diusulkan untuk menyertai usulan IAI GHIBTA Kalsel. yakni: 1) Program Studi Pendidikan Bahasa Arab (PBA), 2) Program Studi Manajemen Pendidikan Islam (MPI), 3) Program Studi Pendidikan Agama Islam (PAI), dan 4) Program Studi Ekonomi Syariah (ES).</v>
      </c>
      <c r="H22" s="314"/>
    </row>
    <row r="23" spans="1:8" ht="91.15" customHeight="1">
      <c r="A23" s="110">
        <f>'F1'!A20</f>
        <v>10</v>
      </c>
      <c r="B23" s="111" t="str">
        <f>'F1'!B20</f>
        <v>2.4.1.2</v>
      </c>
      <c r="C23" s="300">
        <v>3.5</v>
      </c>
      <c r="D23" s="300"/>
      <c r="E23" s="112"/>
      <c r="F23" s="148">
        <f t="shared" si="1"/>
        <v>3.5</v>
      </c>
      <c r="G23" s="113" t="str">
        <f>'F3'!D16</f>
        <v>Fakta Lapangan: Terdapat NPS_B = Jumlah program studi dari rumpun ilmu agama: 4 PS, yakni:1) Program Studi Pendidikan Bahasa Arab (PBA), 2) Program Studi Manajemen Pendidikan Islam (MPI), 3) Program Studi Pendidikan Agama Islam (PAI), dan 4) Program Studi Ekonomi Syariah (ES).</v>
      </c>
      <c r="H23" s="314"/>
    </row>
    <row r="24" spans="1:8" ht="47.1" customHeight="1">
      <c r="A24" s="110">
        <f>'F1'!A21</f>
        <v>11</v>
      </c>
      <c r="B24" s="111" t="str">
        <f>'F1'!B21</f>
        <v>2.4.1.3</v>
      </c>
      <c r="C24" s="300">
        <v>3.5</v>
      </c>
      <c r="D24" s="300"/>
      <c r="E24" s="112"/>
      <c r="F24" s="148">
        <f t="shared" si="1"/>
        <v>3.5</v>
      </c>
      <c r="G24" s="113" t="str">
        <f>'F3'!D17</f>
        <v>Fakta Lapangan:  Terdapat NPS_B = Jumlah program studi dari rumpun ilmu agama: 4 PS, yakni: 1) Program Studi Pendidikan Bahasa Arab (PBA), 2) Program Studi Manajemen Pendidikan Islam (MPI), 3) Program Studi Pendidikan Agama Islam (PAI), dan 4) Program Studi Ekonomi Syariah (ES).</v>
      </c>
      <c r="H24" s="314"/>
    </row>
    <row r="25" spans="1:8" ht="77.099999999999994" customHeight="1">
      <c r="A25" s="110">
        <f>'F1'!A22</f>
        <v>12</v>
      </c>
      <c r="B25" s="111" t="str">
        <f>'F1'!B22</f>
        <v>2.4.2</v>
      </c>
      <c r="C25" s="300">
        <v>3.5</v>
      </c>
      <c r="D25" s="300"/>
      <c r="E25" s="112"/>
      <c r="F25" s="148">
        <f t="shared" si="1"/>
        <v>3.5</v>
      </c>
      <c r="G25" s="113" t="str">
        <f>'F3'!D18</f>
        <v>Fakta Lapangan: Terdapat NM = NPS_ijinbaru = Jumlah program studi baru yang terakreditasi minimum (berdasarkan hasil penilaian akreditasi program studi baru):  4 PS, yakni 1) Program Studi Pendidikan Bahasa Arab (PBA), 2) Program Studi Manajemen Pendidikan Islam (MPI), 3) Program Studi Pendidikan Agama Islam (PAI), dan 4) Program Studi Ekonomi Syariah (ES).</v>
      </c>
      <c r="H25" s="314"/>
    </row>
    <row r="26" spans="1:8" ht="379.15" customHeight="1">
      <c r="A26" s="110">
        <f>'F1'!A23</f>
        <v>13</v>
      </c>
      <c r="B26" s="111">
        <f>'F1'!B23</f>
        <v>2.5</v>
      </c>
      <c r="C26" s="300">
        <v>3</v>
      </c>
      <c r="D26" s="300"/>
      <c r="E26" s="112"/>
      <c r="F26" s="148">
        <f t="shared" si="1"/>
        <v>3</v>
      </c>
      <c r="G26" s="113" t="str">
        <f>'F3'!D19</f>
        <v>Sesuai Fakta di lapangan: IAI GHIBTA sudah memiliki rancangan Sistem Monitoring dan Evaluasi (Monev) Berbasis unggul dalam menyatukan serta memadukan keimanan, Qur’an dan adab serta keilmuan. Sistem Monev ini dirancang dalam kerangka Sistem Penjaminan Mutu Internal (SPMI) Institut Agama Islam Guru Kapuh Ibnu Atha’illah (IAI GIBTHA) dengan siklus Penetapan, Pelaksanaan, Evaluasi (Monev), Pengendalian, dan Peningkatan (PPEPP) yang dilaksanakan secara konsisten oleh PPM.  Dokumen pendukung SPI tersedia lengkap sbb: 1. Kebijakan Mutu:
https://drive.google.com/file/d/1GMNpdupgJ2fk3QZe
ZKol7akQR9nzU8IF/view?usp=drive_link
2. Manual Mutu
https://drive.google.com/file/d/1GW3pQdJ9WovXBb
Dgcjz1zB9KsmJjViqn/view?usp=drive_link
3. Standar Mutu
https://drive.google.com/file/d/15THgLEJ8uzZ0jIi7lG
pLK6VrzVHITgKl/view?usp=drive_link
4. SOP Formulir Mutu
https://drive.google.com/file/d/10JFa4CaLoZhQoiu- eTwVPSziG4a0Vpr1/view?usp=drive_link
5. Implementasi PPEPP:
https://drive.google.com/file/d/1o1P6CPZjjADQAPH
6QexpsuEzAd5s2fDP/view</v>
      </c>
      <c r="H26" s="314"/>
    </row>
    <row r="27" spans="1:8" ht="199.15" customHeight="1">
      <c r="A27" s="110">
        <f>'F1'!A24</f>
        <v>14</v>
      </c>
      <c r="B27" s="111">
        <f>'F1'!B24</f>
        <v>2.6</v>
      </c>
      <c r="C27" s="300">
        <v>3.5</v>
      </c>
      <c r="D27" s="300"/>
      <c r="E27" s="112"/>
      <c r="F27" s="148">
        <f t="shared" si="1"/>
        <v>3.5</v>
      </c>
      <c r="G27" s="113" t="str">
        <f>'F3'!D20</f>
        <v>Data sudah dikonfirmasi: IAI GIBTHA memiliki rancangan kebijakan dan pedoman kerjasama sebagaimana tertuang dalam Surat Keputusan Rektor IAI mengenai Pedoman Kerja Sama Dalam Negeri. Pedoman ini mencakup empat tahap utama, yaitu perintisan kerja sama, pengesahan, pelaksanaan, serta monitoring dan evaluasi. Dokumen pedoman ini berfungsi memastikan mutu pelaksanaan kerja sama, kesesuaian kegiatan dengan bidang keahlian perguruan tinggi dan mitra, serta produktivitas sehingga kerja sama dapat berjalan secara berkelanjutan.</v>
      </c>
      <c r="H27" s="314"/>
    </row>
    <row r="28" spans="1:8" ht="180.75" customHeight="1">
      <c r="A28" s="110">
        <f>'F1'!A25</f>
        <v>15</v>
      </c>
      <c r="B28" s="111">
        <f>'F1'!B25</f>
        <v>3.1</v>
      </c>
      <c r="C28" s="300">
        <v>3.5</v>
      </c>
      <c r="D28" s="300"/>
      <c r="E28" s="112"/>
      <c r="F28" s="148">
        <f t="shared" si="1"/>
        <v>3.5</v>
      </c>
      <c r="G28" s="113" t="str">
        <f>'F3'!D21</f>
        <v xml:space="preserve">Data sudah dikonfirmasi: IAI GIBTHA memiliki kebijakan tentang penerimaan mahasiwa baru yg tertuang dalam Keputusan Ketua IAI Guru Kapuh Ibnu Atha’illah (GIBTHA) tentang SOP Akademik, di dalamnya berisi tentang: (1) kebijakan, ada aturan nasional dan Statuta dan Pedoman Akademik;  (2) kriteria, Kriteria seleksi mahasiswa baru, dari kriteria umum, akademik, dan non-akademik.  (3) prosedur, mulai dari pendaftaran, tes, dan penetapan lulusan dijelaskan secara detail; dan (4) mekanisme pengambilan keputusan, dijelaskan secara detail. Seleksi mahasiswa dilakukan secara internal, rekrutmen calon mahasiswa IAI Guru Kapuh Ibnu Atha’illah (GIBTHA) juga dibuka bagi masyarakat umum.  </v>
      </c>
      <c r="H28" s="314"/>
    </row>
    <row r="29" spans="1:8" ht="163.15" customHeight="1">
      <c r="A29" s="110">
        <f>'F1'!A26</f>
        <v>16</v>
      </c>
      <c r="B29" s="111">
        <f>'F1'!B26</f>
        <v>3.2</v>
      </c>
      <c r="C29" s="300">
        <v>3.5</v>
      </c>
      <c r="D29" s="300"/>
      <c r="E29" s="112"/>
      <c r="F29" s="148">
        <f t="shared" si="1"/>
        <v>3.5</v>
      </c>
      <c r="G29" s="113" t="str">
        <f>'F3'!D22</f>
        <v>Berdasarkan konfirmasi di lapangan: IAI GIBTHA memiliki rancangan aturan tentang aturan pemberian firmasi yg diberikan pada calon mahasiswa baru. Dalam upaya mewujudkan keadilan dan pemerataan akses pendidikan tinggi, IAI berkomitmen untuk memberikan kesempatan belajar yang seluas-luasnya bagi seluruh lapisan masyarakat, baik dari kalangan mampu maupun kurang mampu. Untuk menopang kebijakan afirmasi mahasiswa, IAI GIBTHA  menyiapkan skema beasiswa KIP Kuliah, IAI juga menyediakan bantuan beasiswa bagi mahasiswa berprestasi maupun mahasiswa dari keluarga kurang mampu melalui kerja sama dengan lembaga sosial milik Yayasan Ibnu Atha’illah.</v>
      </c>
      <c r="H29" s="314"/>
    </row>
    <row r="30" spans="1:8" ht="202.15" customHeight="1">
      <c r="A30" s="110">
        <f>'F1'!A27</f>
        <v>17</v>
      </c>
      <c r="B30" s="111" t="str">
        <f>'F1'!B27</f>
        <v>4.1</v>
      </c>
      <c r="C30" s="300">
        <v>3.5</v>
      </c>
      <c r="D30" s="300"/>
      <c r="E30" s="112"/>
      <c r="F30" s="148">
        <f t="shared" si="1"/>
        <v>3.5</v>
      </c>
      <c r="G30" s="113" t="str">
        <f>'F3'!D23</f>
        <v xml:space="preserve">Fakta Lapangan;  IAI GIBTHA memiliki rancangan tentang sistem pengelolaan sumber daya manusia dilaksanakan berdasarkan prinsip berdasarkan pada Surat Keputusan Ketua Yayasan Ibnu Atha’illah; Surat Keputusan Ketua Institut Agama Islam Guru Kapuh Ibnu Atha’illah (IAI GIBTHA); dan Surat Keputusan Ketua mengenai pedoman pengelolaan SDM Institut Agama Islam Guru Kapuh Ibnu Atha’illah (IAI GIBTHA);. Sistem seleksi/rekrutment, penempatan, pengembangan, retensi, dan pemberhentian dosen dan tenaga kependidikan tercantum pada buku Rancangan Statuta tentang system pengelolaan sumber daya manusia, dan telah dilaksanakan secara konsisten.  </v>
      </c>
      <c r="H30" s="314"/>
    </row>
    <row r="31" spans="1:8" ht="92.1" customHeight="1">
      <c r="A31" s="110">
        <f>'F1'!A28</f>
        <v>18</v>
      </c>
      <c r="B31" s="111" t="str">
        <f>'F1'!B28</f>
        <v>4.2.1</v>
      </c>
      <c r="C31" s="300">
        <v>3.5</v>
      </c>
      <c r="D31" s="300"/>
      <c r="E31" s="112"/>
      <c r="F31" s="148">
        <f t="shared" si="1"/>
        <v>3.5</v>
      </c>
      <c r="G31" s="113" t="str">
        <f>'F3'!D24</f>
        <v xml:space="preserve">Fakta Lapangan, sebagian besar hadir saat visitasi dilakukan: Terdapat NDTPS_ijinbaru = Jumlah dosen tetap pada program studi baru yang terakreditasi minimum: ada 25 orang yg disiapkan untuk 5 prodi yg diusulkan, yakni: (1) PS Pendidikan Bahasa Arab (PBA)  an. 1. Nurul Amini, M.Pd (S2 Pendidikan Bahasa Arab UII DALWA), 2. Nafisah, M.Pd (S2 Pendidikan Bahasa Arab UII DALWA), 3. Fathia Qonita, M.Pd (S2 Pendidikan Bahasa Arab UII DALWA), 4. Fahrunnisa, M.Pd  (S2 Pendidikan Bahasa Arab UII DALWA), 5. Nurul Jannah (S2 PBA UII Dalwa). (2) PS Manajemen Pendidikan Islam an. 1. Dr. Afifah (S2 MPI UI Dalwa, S3 Manajemen Pendidikan Islam UI Dalwa), 2. Nurwahda Maghfiroh (S2 Manajemen Pendidikan STIE Panca Setia Banjarmasin), 3. Sufi Hadi (S2 Manajemen Pendidikan Islam UI Dalwa), 5. Tasiah (S2 Manajemen Pendidikan Islam UII Dalwa); Zainati Khoiriyah, M.Pd (S2 MPI UII Dalwa), 5. Halidah. S. E, M. Pd (S2 Manajemen Pendidikan UII Dalwa),  3) PS Ekonomi Syariah (ES), an. 1. Dr. Ir. Syahrial Shaddiq, S.T., M.Eng., M.M., M.Si (S3 Ilmu Ekonomi UII Yogya), 2. Dr. Fathurrahman, S. Ag, M. H (S3 Doktoral Ilmu Syariah UIN Antasari), 3. Fachri Zulmi, S. E. I, M. H (S2 Ekonomi Sriah UIN Antasari), 4. Sri Rozana Widya Astuty, S. E, M. E (S2 lmu Ekonomi UNLAM), 5. Fachri Zulmi (S2 Hukum Ekonomi Syariah UIN Antasari), 4) PS Pendidikan Agama Islam (PAI), an. 1. DR. Ahmad Suryadi, M. Pd. (S3 Dirasah Islamiyah Konsentrasi Pendidikan dan Keguruan UIN Alauddin Makassar), 2. Miftahul Ihsan, M. Pd. (S2 PAI UIN Sunan Kalijaga Yogyakarta), 3. Raudatul Jannah, M. Pd (S2 PAI UIN Antasari), 4. Muhammad Hamdani, M. Pd (S2 PAI UIN Malang), 5. Muhammad Ikhsan, S.Pd, M. Pd (S2 PAI UIN Antasari Banjarmasin).  Semua dosen yg diusulkan berstatus sebagai Dosen Tetap dan memiliki linearitas keilmuan dg program studi yg diusulkan.  </v>
      </c>
      <c r="H31" s="314"/>
    </row>
    <row r="32" spans="1:8" ht="93" customHeight="1">
      <c r="A32" s="110">
        <f>'F1'!A29</f>
        <v>19</v>
      </c>
      <c r="B32" s="111" t="str">
        <f>'F1'!B29</f>
        <v>4.2.2</v>
      </c>
      <c r="C32" s="300">
        <v>3.5</v>
      </c>
      <c r="D32" s="300"/>
      <c r="E32" s="112"/>
      <c r="F32" s="148">
        <f t="shared" si="1"/>
        <v>3.5</v>
      </c>
      <c r="G32" s="113" t="str">
        <f>'F3'!D25</f>
        <v>Data sudah terkonfirmasi: Terdapat sejumlah calon dosen tetap: 24 orang, sudah memadai dihitung dari rasio 4 PS; dilihat kualifikasi penidididikan, semua sudah S2 (Magister) dengan backgroun keilmuan yang relevan dg prodi yg diusulkan.</v>
      </c>
      <c r="H32" s="314"/>
    </row>
    <row r="33" spans="1:8" ht="39.4">
      <c r="A33" s="110">
        <f>'F1'!A30</f>
        <v>20</v>
      </c>
      <c r="B33" s="111" t="str">
        <f>'F1'!B30</f>
        <v>4.2.3</v>
      </c>
      <c r="C33" s="300">
        <v>3.5</v>
      </c>
      <c r="D33" s="300"/>
      <c r="E33" s="112"/>
      <c r="F33" s="148">
        <f t="shared" ref="F33" si="2">AVERAGE(C33:E33)</f>
        <v>3.5</v>
      </c>
      <c r="G33" s="113" t="str">
        <f>'F3'!D26</f>
        <v>Data sudah terkonfirmasi: Dari 24 Calon DTPS yang diusulkan, ada 4 orang dosen yang berkualifikasi pendidikan Doktor (S3).</v>
      </c>
      <c r="H33" s="314"/>
    </row>
    <row r="34" spans="1:8" ht="172.15" customHeight="1">
      <c r="A34" s="110">
        <f>'F1'!A31</f>
        <v>21</v>
      </c>
      <c r="B34" s="111">
        <f>'F1'!B31</f>
        <v>4.3</v>
      </c>
      <c r="C34" s="300">
        <v>3.5</v>
      </c>
      <c r="D34" s="300"/>
      <c r="E34" s="112"/>
      <c r="F34" s="148">
        <f t="shared" si="1"/>
        <v>3.5</v>
      </c>
      <c r="G34" s="113" t="str">
        <f>'F3'!D27</f>
        <v>Fakta Lapangan, data sudah dikonfirmasi: Ada keterangan IAI GIBTHA memiliki perencanaan pengembangan SDM Dosen meliputi: (1) Pengembangan dan Pembinaan Karir; Dalam pengembangan sumber daya manusia (dosen) mengacu pada tri dharma perguruan tinggi yaitu: Untuk studi lanjut S3 semua pengajar diberi kesempatan baik dengan biaya dari internal IAI maupun dari luar IAI sesuai dengan peraturan yang berlaku. Dalam 10 Tahun akan memberikan kesempatan pada dosen untuk kuliah S3 tiap Tahun 3-5 Dosen, sehingga dalam 10 di targetkan 60% Dosen sudah Kuliah S3. (2) Pengembangan kompetensi khusus; meliputi pembinaan intern dan ekstern melalui pimpinan prodi antara lain secara selektif dengan mempercayakan kepada dosen untuk mengkoordinir berbagai kegiatan ekstra prodi.</v>
      </c>
      <c r="H34" s="314"/>
    </row>
    <row r="35" spans="1:8" ht="104.1" customHeight="1">
      <c r="A35" s="110">
        <f>'F1'!A32</f>
        <v>22</v>
      </c>
      <c r="B35" s="111" t="str">
        <f>'F1'!B32</f>
        <v>4.4.1</v>
      </c>
      <c r="C35" s="300">
        <v>3.5</v>
      </c>
      <c r="D35" s="300"/>
      <c r="E35" s="112"/>
      <c r="F35" s="148">
        <f t="shared" si="1"/>
        <v>3.5</v>
      </c>
      <c r="G35" s="113" t="str">
        <f>'F3'!D28</f>
        <v>Data sudah terkonfirmasi: Terdapat NTK = Jumlah tenaga kependidikan IAI GIBTHA  ada  8 orang untuk melayani 4 PS, keberadaan tendik masih minim; pemenuhan tendik mestinya disesuaikan dg kebutuhan sebagai: Pustakawaan, Laboran, Oprartor, dan Teknisi.  Untuk setiap PS masing-masing 2 orang</v>
      </c>
      <c r="H35" s="314"/>
    </row>
    <row r="36" spans="1:8" ht="52.5">
      <c r="A36" s="110">
        <f>'F1'!A33</f>
        <v>23</v>
      </c>
      <c r="B36" s="111" t="str">
        <f>'F1'!B33</f>
        <v>4.4.2</v>
      </c>
      <c r="C36" s="300">
        <v>3.5</v>
      </c>
      <c r="D36" s="300"/>
      <c r="E36" s="112"/>
      <c r="F36" s="148">
        <f t="shared" si="1"/>
        <v>3.5</v>
      </c>
      <c r="G36" s="113" t="str">
        <f>'F3'!D29</f>
        <v xml:space="preserve">Data sudah terkonfirmasi: Terdapat A = Jumlah tenaga administrasi berkualifikasi minimum S-1: 5, semua lulusan S1 (sarjana); untuk melayani 4 PS </v>
      </c>
      <c r="H36" s="314"/>
    </row>
    <row r="37" spans="1:8" ht="78.75">
      <c r="A37" s="110">
        <f>'F1'!A34</f>
        <v>24</v>
      </c>
      <c r="B37" s="111" t="str">
        <f>'F1'!B34</f>
        <v>4.4.3</v>
      </c>
      <c r="C37" s="300">
        <v>3.5</v>
      </c>
      <c r="D37" s="300"/>
      <c r="E37" s="112"/>
      <c r="F37" s="148">
        <f t="shared" si="1"/>
        <v>3.5</v>
      </c>
      <c r="G37" s="113" t="str">
        <f>'F3'!D30</f>
        <v xml:space="preserve">Data sudah terkonfirmasi: Terdapat L = Jumlah tenaga laboran/ teknisi berkualifikasi S1/SMA: 3 orang untuk 4 PS yang diusulkan, an. Siti Khodijah (S1 UII Dalwa), Muzara (S1 PAI DU Kandangan), Khoirotunnisa (S1 PAI UII Dalwa) </v>
      </c>
      <c r="H37" s="314"/>
    </row>
    <row r="38" spans="1:8" ht="78.75">
      <c r="A38" s="110">
        <f>'F1'!A35</f>
        <v>25</v>
      </c>
      <c r="B38" s="111" t="str">
        <f>'F1'!B35</f>
        <v>4.4.4</v>
      </c>
      <c r="C38" s="300">
        <v>3.5</v>
      </c>
      <c r="D38" s="300"/>
      <c r="E38" s="112"/>
      <c r="F38" s="148">
        <f t="shared" si="1"/>
        <v>3.5</v>
      </c>
      <c r="G38" s="113" t="str">
        <f>'F3'!D31</f>
        <v xml:space="preserve">Fakta Lapangan, sata sudah terkonfirmasi: Terdapat A = Jumlah tenaga perpustakaan berkualifikasi minimum S-2:  0 orang tenaga perpustakaan. An. Yulianita Anggraini, S1 UT jurusan Ilmu Perpustakaan  </v>
      </c>
      <c r="H38" s="314"/>
    </row>
    <row r="39" spans="1:8" ht="187.15" customHeight="1">
      <c r="A39" s="110">
        <f>'F1'!A36</f>
        <v>26</v>
      </c>
      <c r="B39" s="111">
        <f>'F1'!B36</f>
        <v>5.0999999999999996</v>
      </c>
      <c r="C39" s="300">
        <v>3</v>
      </c>
      <c r="D39" s="300"/>
      <c r="E39" s="112"/>
      <c r="F39" s="148">
        <f t="shared" si="1"/>
        <v>3</v>
      </c>
      <c r="G39" s="113" t="str">
        <f>'F3'!D32</f>
        <v>Data sudah terkonfirmasi: Sudah ada penjelasan normatif tentang  penjelasan tentang rancangan Kebijakan dan pedoman akademik IAI GIBTHA mencakup semua elemen standar pendidikan yang dirumuskan secara lengkap dengan substansi baik, seperti: (1) kompetensi lulusan, (2) isi pembelajaran, (3) proses pembelajaran, (4) penilaian pembelajaran, (5) dosen dan tenaga kependidikan, (6) sarana dan prasarana pembelajaran, (7) pengelolaan pembelajaran, dan (8) pembiayaan pembelajaran. Penjelasannya masih normatif, karena memang belum dilaksanakan. (cek kembali saat visitasi)</v>
      </c>
      <c r="H39" s="314"/>
    </row>
    <row r="40" spans="1:8" ht="96" customHeight="1">
      <c r="A40" s="110">
        <f>'F1'!A37</f>
        <v>27</v>
      </c>
      <c r="B40" s="111">
        <f>'F1'!B37</f>
        <v>5.2</v>
      </c>
      <c r="C40" s="300">
        <v>3</v>
      </c>
      <c r="D40" s="300"/>
      <c r="E40" s="112"/>
      <c r="F40" s="148">
        <f t="shared" si="1"/>
        <v>3</v>
      </c>
      <c r="G40" s="113" t="str">
        <f>'F3'!D33</f>
        <v>Data sudah terkonfirmasi: Kebijakan IAI GIBTHA dalam pengembangan kurikulum didasarkan pada STATUTA dan Panduan Akademik IAI berdasarkan aturan harus mendukung terhadap pengembangan Kurikulum tingkat perguruan tinggi. Didalamnya ada penjelasan tentang rancangan: (1) kebijakan, (2) pedoman pengembangan kurikulum, dan (3) unit kerja/ fungsi organisasi yang memfasilitasi program studi untuk melakukan kegiatan  pengembangan kurikulum.  Beberapa kebijakan pendukung sbb: 1. Kebijakan :
https://drive.google.com/file/d/1Cxthul2Ws rmOpRo5a7hgrTFAn0puwytq/view?usp=sharing
 2. Pedoman Pengembangan Kurikulum :
https://drive.google.com/file/d/1a89cz91dx mKr49JIrgycjzdHL5hzSvwg/view?usp=drive_l ink. 3. Unit Kerja Fungsi Pengembangan Kurikulum:
https://drive.google.com/file/d/14Bmh6h- wmTJkDxLn3S7e0kWIARIJZX9M/view?usp=drive_
  link</v>
      </c>
      <c r="H40" s="314"/>
    </row>
    <row r="41" spans="1:8" ht="137.1" customHeight="1">
      <c r="A41" s="110">
        <f>'F1'!A38</f>
        <v>28</v>
      </c>
      <c r="B41" s="111">
        <f>'F1'!B38</f>
        <v>5.3</v>
      </c>
      <c r="C41" s="300">
        <v>3</v>
      </c>
      <c r="D41" s="300"/>
      <c r="E41" s="112"/>
      <c r="F41" s="148">
        <f t="shared" si="1"/>
        <v>3</v>
      </c>
      <c r="G41" s="113" t="str">
        <f>'F3'!D34</f>
        <v>Data sudah terkonfirmasi: IAI GIBTHA melaksanakan kebebasan akademik, kebebasan mimbar akademik, dan otonomi keilmuan melalui pengaturan atas jaminan pengakuan, penghormatan, dan pemenuhan hal itu secara eksplisit tertuang dalam aturan yg lengkap di dalamnya  memuat Kebijakan Akademik IAI, Peraturan Akademik  bidang Pendidikan, Penelitian, dan Pengabdian kepada Masyarakat, Standar Akademik, dan Renstra, didalamnya mengatur ketiga unsur suasana akademik yang dinyatakan secara jelas yang mencakup unsur: (1) kebebasan akademik, (2) kebebasan mimbar akademik, dan (3) otonomi keilmuan. Walaupun penjelasannya normatif. Masing-masing dijelaskan cukup memadai, dengan data cukup. Link pendukung sbb: https://drive.google.com/file/d/1a89cz91dxmKr49JIrg
 ycjzdHL5hzSvwg/view?usp=sharing. Termasuk link kebebasan akademik: https://drive.google.com/file/d/1j1yBVFIMWKl0pvIs
 KI2iqHwopQ1QSZ6I/view SK UKM:
  4. RPS PAI: https://drive.google.com/file/d/1W- bL4QAhSv96y8mPxWGZ3yoTSpyjwPP_/view?usp=
  drive_link RPS MPI: https://drive.google.com/file/d/13utlWryBgo3ZdmaTb
 3b138rNPrcklVj7/view?usp=drive_link RPS PBA: https://drive.google.com/file/d/12Tr6sSW85MNNKk T o8InaY emN700cDZnV/view?usp=drive_linkhttps://
  drive.google.com/file/d/12Tr6sSW85MNNKkTo8Ina YemN700cDZnV/view?usp=drive_link RPS HES:</v>
      </c>
      <c r="H41" s="314"/>
    </row>
    <row r="42" spans="1:8" ht="409.5">
      <c r="A42" s="110">
        <f>'F1'!A39</f>
        <v>29</v>
      </c>
      <c r="B42" s="111">
        <f>'F1'!B39</f>
        <v>6.1</v>
      </c>
      <c r="C42" s="300">
        <v>3</v>
      </c>
      <c r="D42" s="300"/>
      <c r="E42" s="112"/>
      <c r="F42" s="148">
        <f t="shared" si="1"/>
        <v>3</v>
      </c>
      <c r="G42" s="113" t="str">
        <f>'F3'!D35</f>
        <v xml:space="preserve">Data sudah terkonfirmasi: Ada penjelasan normatif  IAI GIBTHA memiliki rancangan kebijakan penelitian berupa berdasarkan Buku Panduan Penelitian IAI  yang dikuatkan dengan SK Ketua tentang penelitian  yang mencakup semua elemen standar penelitian yang dirumuskan secara lengkap dengan substansi baik.  Lembaga sudah memeiliki konsep aturanmeliputi:  Rencana Induk Penelitian (RIP) dan Rencana Strategis (Renstra) Pengabdian Kepada Masyarakat, Pedoman Pelaksanaan Penelitian Dan Pengabdian Kepada Masyarakat, Penetapan Roadmap Penelitian dan Pengabdian, dan Pembentukan Kelompok Riset. Data pendukung berupa, RIP Penelitian: 1. RIP: Rencana Induk Penelitian :
https://docs.google.com/document/d/1liSA yXQzLiQtRz93zixAk3ZbLX- KAHy_/edit?usp=drive_link&amp;ouid=10220652. 2 Restra Penelitian dan Pengabdian: https://drive.google.com/file/d/1lTY_TU8HY n0SP5XBQxsXe2PAh6DtcjtA/view?usp=drive_link. Pedoman Penelitain: https://docs.google.com/document/d/1ojAz. Roadmap Penelitian: e8xYYshQ38bAC8tQVdOb4BXQ_rm3N. Roadmap penelitian dan PKm: https://docs.google.com/document/d/18Bf. UKM Riset: https://drive.google.com/file/d/14pXZfyjySlKfZzoMC
 </v>
      </c>
      <c r="H42" s="314"/>
    </row>
    <row r="43" spans="1:8" ht="158.1" customHeight="1">
      <c r="A43" s="110">
        <f>'F1'!A40</f>
        <v>30</v>
      </c>
      <c r="B43" s="111">
        <f>'F1'!B40</f>
        <v>7.1</v>
      </c>
      <c r="C43" s="300">
        <v>3</v>
      </c>
      <c r="D43" s="300"/>
      <c r="E43" s="112"/>
      <c r="F43" s="148">
        <f t="shared" si="1"/>
        <v>3</v>
      </c>
      <c r="G43" s="113" t="str">
        <f>'F3'!D36</f>
        <v xml:space="preserve">Data sudah terkonfirmasi: IAI GIBTHA yang diusulkan yang memiliki rancangan kebijakan PkM berupa buku panduan pengabdian tentang PkM yang mencakup semua elemen standar PkM yang dirumuskan secara secara baik. Lembaga sudah memeiliki konsep aturanmeliputi:  Rencana Induk Penelitian (RIP) dan Rencana Strategis (Renstra) Pengabdian Kepada Masyarakat, Pedoman Pelaksanaan Penelitian Dan Pengabdian Kepada Masyarakat, Penetapan Roadmap Penelitian dan Pengabdian, dan Pembentukan Kelompok Riset.  Data pendukung berupa, RIP Penelitian: 1. RIP: Rencana Induk Penelitian :
https://docs.google.com/document/d/1liSA yXQzLiQtRz93zixAk3ZbLX- KAHy_/edit?usp=drive_link&amp;ouid=10220652. 2 Restra Penelitian dan Pengabdian: https://drive.google.com/file/d/1lTY_TU8HY n0SP5XBQxsXe2PAh6DtcjtA/view?usp=drive_link. Pedoman Penelitain: https://docs.google.com/document/d/1ojAz. Roadmap Penelitian: e8xYYshQ38bAC8tQVdOb4BXQ_rm3N. Roadmap penelitian dan PKm: https://docs.google.com/document/d/18Bf. UKM Riset: https://drive.google.com/file/d/14pXZfyjySlKfZzoMC  </v>
      </c>
      <c r="H43" s="314"/>
    </row>
    <row r="44" spans="1:8" ht="97.15" customHeight="1">
      <c r="A44" s="110">
        <f>'F1'!A41</f>
        <v>31</v>
      </c>
      <c r="B44" s="111" t="str">
        <f>'F1'!B41</f>
        <v>8.1.1</v>
      </c>
      <c r="C44" s="300">
        <v>3</v>
      </c>
      <c r="D44" s="300"/>
      <c r="E44" s="112"/>
      <c r="F44" s="148">
        <f t="shared" si="1"/>
        <v>3</v>
      </c>
      <c r="G44" s="113" t="str">
        <f>'F3'!D37</f>
        <v>Fakta Lapangan: Berdasarkan hasil verifikasi lapangan saat visitasi, Institut Agama Islam (IAI) GIBTHA memiliki lahan kampus seluas 22.142 m² yang beralamat di Desa Wasah Tengah RT 004 RW 002, Kecamatan Simpur, Kabupaten Hulu Sungai Selatan, Provinsi Kalimantan Selatan. Lahan tersebut berstatus milik sendiri dan saat ini belum bersertifikat. Data terkait luas, alamat, dan status kepemilikan lahan telah diperbarui sesuai dengan kondisi dan informasi terbaru yang disampaikan oleh institusi pada saat visitasi. Adapun bukti yakni surat keterangan dari Notaris: https://drive.google.com/file/d/1XiG5H4JlDrpRdyG8U5Dj7tGMzrA4SUUu/view?usp=drive_link</v>
      </c>
      <c r="H44" s="315"/>
    </row>
    <row r="45" spans="1:8" ht="91.15" customHeight="1">
      <c r="A45" s="110">
        <f>'F1'!A42</f>
        <v>32</v>
      </c>
      <c r="B45" s="111" t="str">
        <f>'F1'!B42</f>
        <v>8.1.2</v>
      </c>
      <c r="C45" s="300">
        <v>3</v>
      </c>
      <c r="D45" s="300"/>
      <c r="E45" s="112"/>
      <c r="F45" s="148">
        <f t="shared" si="1"/>
        <v>3</v>
      </c>
      <c r="G45" s="113" t="str">
        <f>'F3'!D38</f>
        <v>Fakta Lapangan: Lahan kampus yg dimiliki sudah sangat memadai, Berlokasi beralamat:  DDesa Wasah Tengah, RT 004 RW 002, Kecamatan Simpur, Kabupaten Hulu Sungai Selatan, Provinsi Kalimantan Selatan</v>
      </c>
      <c r="H45" s="315"/>
    </row>
    <row r="46" spans="1:8" ht="88.15" customHeight="1">
      <c r="A46" s="110">
        <f>'F1'!A43</f>
        <v>33</v>
      </c>
      <c r="B46" s="111" t="str">
        <f>'F1'!B43</f>
        <v>8.1.3</v>
      </c>
      <c r="C46" s="300">
        <v>3</v>
      </c>
      <c r="D46" s="300"/>
      <c r="E46" s="112"/>
      <c r="F46" s="148">
        <f t="shared" si="1"/>
        <v>3</v>
      </c>
      <c r="G46" s="113" t="str">
        <f>'F3'!D39</f>
        <v>Fakta Lapangan: Berdasarkan hasil klarifikasi pada saat asesmen lapangan (AL), status tanah yang dimiliki oleh Institut Agama Islam (IAI) GIBTHA adalah milik sendiri. Data terkait status kepemilikan lahan tersebut telah diperbarui sesuai dengan kondisi dan informasi saat di lapangan, bukti link notaris:  https://drive.google.com/file/d/1XiG5H4JlDrpRdyG8U5Dj7tGMzrA4SUUu/view?usp=drive_link</v>
      </c>
      <c r="H46" s="314"/>
    </row>
    <row r="47" spans="1:8" ht="26.25">
      <c r="A47" s="110">
        <f>'F1'!A44</f>
        <v>34</v>
      </c>
      <c r="B47" s="111" t="str">
        <f>'F1'!B44</f>
        <v>8.2.1</v>
      </c>
      <c r="C47" s="300">
        <v>3</v>
      </c>
      <c r="D47" s="300"/>
      <c r="E47" s="112"/>
      <c r="F47" s="148">
        <f t="shared" si="1"/>
        <v>3</v>
      </c>
      <c r="G47" s="113" t="str">
        <f>'F3'!D40</f>
        <v xml:space="preserve">Fakta Lapangan: Luas ruang kuliah 660 m2; ada 22 robongan belajar di beberapa lokal </v>
      </c>
      <c r="H47" s="316"/>
    </row>
    <row r="48" spans="1:8" ht="26.25">
      <c r="A48" s="110">
        <f>'F1'!A45</f>
        <v>35</v>
      </c>
      <c r="B48" s="111" t="str">
        <f>'F1'!B45</f>
        <v>8.2.2</v>
      </c>
      <c r="C48" s="300">
        <v>3</v>
      </c>
      <c r="D48" s="300"/>
      <c r="E48" s="112"/>
      <c r="F48" s="148">
        <f t="shared" si="1"/>
        <v>3</v>
      </c>
      <c r="G48" s="113" t="str">
        <f>'F3'!D41</f>
        <v>Fakta Lapangan: Ruang dosen luas 190 m2, ruang tersedia lengkap</v>
      </c>
      <c r="H48" s="314"/>
    </row>
    <row r="49" spans="1:8" ht="39.4">
      <c r="A49" s="110">
        <f>'F1'!A46</f>
        <v>36</v>
      </c>
      <c r="B49" s="111" t="str">
        <f>'F1'!B46</f>
        <v>8.2.3</v>
      </c>
      <c r="C49" s="300">
        <v>3</v>
      </c>
      <c r="D49" s="300"/>
      <c r="E49" s="112"/>
      <c r="F49" s="148">
        <f t="shared" si="1"/>
        <v>3</v>
      </c>
      <c r="G49" s="113" t="str">
        <f>'F3'!D42</f>
        <v>Fakta Lapangan: Tersedia luas ruang administrasi dengan luas: 72 m2, kondisi ruang tersedia</v>
      </c>
      <c r="H49" s="314"/>
    </row>
    <row r="50" spans="1:8" ht="33" customHeight="1">
      <c r="A50" s="110">
        <f>'F1'!A47</f>
        <v>37</v>
      </c>
      <c r="B50" s="111" t="str">
        <f>'F1'!B47</f>
        <v>8.2.4</v>
      </c>
      <c r="C50" s="300">
        <v>3</v>
      </c>
      <c r="D50" s="300"/>
      <c r="E50" s="112"/>
      <c r="F50" s="148">
        <f t="shared" si="1"/>
        <v>3</v>
      </c>
      <c r="G50" s="113" t="str">
        <f>'F3'!D43</f>
        <v xml:space="preserve">Fakta Lapangan: Ruang perpustakaan tersedia lengkap dengan desain ruangan dan isi buku yg lengkap; luas  450 m2, </v>
      </c>
      <c r="H50" s="314"/>
    </row>
    <row r="51" spans="1:8" ht="35.1" customHeight="1">
      <c r="A51" s="110">
        <f>'F1'!A48</f>
        <v>38</v>
      </c>
      <c r="B51" s="111" t="str">
        <f>'F1'!B48</f>
        <v>8.2.5</v>
      </c>
      <c r="C51" s="300">
        <v>3</v>
      </c>
      <c r="D51" s="300"/>
      <c r="E51" s="112"/>
      <c r="F51" s="148">
        <f t="shared" si="1"/>
        <v>3</v>
      </c>
      <c r="G51" s="113" t="str">
        <f>'F3'!D44</f>
        <v>Disebutkan ada 5 ruang Laboratorium untuk persiapan 4 PS, yakni Laboratorium Micro Teaching, Laboratorium Bahasa, Laboratorium Komputer, Laboratorium Mini Perbankan, Laboratorium Sidang Semu, dan Laboratoriumibadah; semua memiliki luas 72 m2, dalam kondisi terawat baik.</v>
      </c>
      <c r="H51" s="314"/>
    </row>
    <row r="52" spans="1:8" ht="35.1" customHeight="1">
      <c r="A52" s="110">
        <f>'F1'!A49</f>
        <v>39</v>
      </c>
      <c r="B52" s="111" t="str">
        <f>'F1'!B49</f>
        <v>8.3.1</v>
      </c>
      <c r="C52" s="300">
        <v>3</v>
      </c>
      <c r="D52" s="300"/>
      <c r="E52" s="112"/>
      <c r="F52" s="148">
        <f t="shared" si="1"/>
        <v>3</v>
      </c>
      <c r="G52" s="113" t="str">
        <f>'F3'!D45</f>
        <v>Fakta Lapangan: Untuk 4 PS yakni: PBA, Manajemen Pendidikan Islam, Ekonomi Syariah dan PAI memiliki koleksi buku 1750 judul, semua buku relevan dengan bidang keilmuan prodi yg diusulkan</v>
      </c>
      <c r="H52" s="314"/>
    </row>
    <row r="53" spans="1:8" ht="35.1" customHeight="1">
      <c r="A53" s="110">
        <f>'F1'!A50</f>
        <v>40</v>
      </c>
      <c r="B53" s="111" t="str">
        <f>'F1'!B50</f>
        <v>8.3.2</v>
      </c>
      <c r="C53" s="300">
        <v>3</v>
      </c>
      <c r="D53" s="300"/>
      <c r="E53" s="112"/>
      <c r="F53" s="148">
        <f t="shared" si="1"/>
        <v>3</v>
      </c>
      <c r="G53" s="113" t="str">
        <f>'F3'!D46</f>
        <v>Data sudah terkonfirmasi: IAI GIBTHA memiliki 1750 judul buku untuk 4 PS yang diusulkan; semua buku relevan dengan bidang keilmuan prodi yg diusulkan</v>
      </c>
      <c r="H53" s="314"/>
    </row>
    <row r="54" spans="1:8" ht="39.4">
      <c r="A54" s="110">
        <f>'F1'!A51</f>
        <v>41</v>
      </c>
      <c r="B54" s="111" t="str">
        <f>'F1'!B51</f>
        <v>8.3.3</v>
      </c>
      <c r="C54" s="301">
        <v>3</v>
      </c>
      <c r="D54" s="301"/>
      <c r="E54" s="112"/>
      <c r="F54" s="148">
        <f t="shared" si="1"/>
        <v>3</v>
      </c>
      <c r="G54" s="113" t="str">
        <f>'F3'!D47</f>
        <v>Data sudah terkonfirmasi: Ada penjelasan jurnal ilmiah untuk 4 PS yang diusulkan sebanyak 20 judul</v>
      </c>
      <c r="H54" s="314"/>
    </row>
    <row r="55" spans="1:8" ht="52.5">
      <c r="A55" s="110">
        <f>'F1'!A52</f>
        <v>42</v>
      </c>
      <c r="B55" s="111" t="str">
        <f>'F1'!B52</f>
        <v>8.3.4</v>
      </c>
      <c r="C55" s="301">
        <v>3</v>
      </c>
      <c r="D55" s="301"/>
      <c r="E55" s="112"/>
      <c r="F55" s="148">
        <f t="shared" si="1"/>
        <v>3</v>
      </c>
      <c r="G55" s="113" t="str">
        <f>'F3'!D48</f>
        <v>Fakta Lapangan: Koleksi atau akses jurnal (terakreditasi) ada 4 jurnal; ada akses jurnal yg disiapkan sebagai referensi digital mahasiswa</v>
      </c>
      <c r="H55" s="314"/>
    </row>
    <row r="56" spans="1:8" ht="39.75" customHeight="1">
      <c r="A56" s="110">
        <f>'F1'!A53</f>
        <v>43</v>
      </c>
      <c r="B56" s="111" t="str">
        <f>'F1'!B53</f>
        <v>8.3.5</v>
      </c>
      <c r="C56" s="301">
        <v>3</v>
      </c>
      <c r="D56" s="301"/>
      <c r="E56" s="112"/>
      <c r="F56" s="148">
        <f t="shared" si="1"/>
        <v>3</v>
      </c>
      <c r="G56" s="113" t="str">
        <f>'F3'!D49</f>
        <v xml:space="preserve">Fakta Lapangan: Tersedia Sarana dan prasarana cukup untuk IAI GIBTHA, dengan kuantitas dan kualitas yang  baik untuk penyelenggaraan kegiatan pembelajaran dan kegiatan penunjang pembelajaran. Anatara lain: Ruang Perkuliahan, Ruang Lab. Komputer, Ruang PK, Bahasa, Sarana Olahraga, Ruang ketua, Ruang Tata Usaha, Ruang Perpustakaan, Tempat Ibadah, Tempat Parkir, dan dan taman. </v>
      </c>
      <c r="H56" s="314"/>
    </row>
    <row r="57" spans="1:8" ht="105" customHeight="1">
      <c r="A57" s="110">
        <f>'F1'!A54</f>
        <v>44</v>
      </c>
      <c r="B57" s="111" t="str">
        <f>'F1'!B54</f>
        <v>8.4.1</v>
      </c>
      <c r="C57" s="301">
        <v>3</v>
      </c>
      <c r="D57" s="301"/>
      <c r="E57" s="112"/>
      <c r="F57" s="148">
        <f t="shared" si="1"/>
        <v>3</v>
      </c>
      <c r="G57" s="113" t="str">
        <f>'F3'!D50</f>
        <v>Data telah dikonfirmasi, namun masih diperlukan penjelasan yang lebih lengkap dan komprehensif terkait rancangan sistem pengelolaan yang diterapkan. Oleh karena itu, diperlukan pembaruan dan pelengkapan data agar sesuai dengan kebutuhan asesmen lapangan.</v>
      </c>
      <c r="H57" s="314"/>
    </row>
    <row r="58" spans="1:8" ht="42" customHeight="1">
      <c r="A58" s="110">
        <f>'F1'!A55</f>
        <v>45</v>
      </c>
      <c r="B58" s="111" t="str">
        <f>'F1'!B55</f>
        <v>8.4.2</v>
      </c>
      <c r="C58" s="301">
        <v>3</v>
      </c>
      <c r="D58" s="301"/>
      <c r="E58" s="112"/>
      <c r="F58" s="148">
        <f t="shared" si="1"/>
        <v>3</v>
      </c>
      <c r="G58" s="113" t="str">
        <f>'F3'!D51</f>
        <v>Data Terkonfirmasi: IAI GIBTHA memiliki konsep rencana induk pengembangan lahan dan prasarana pembelajaran. Dasar kebijakan dalam pengembangan sarana dan prasarana di lingkungan IAI GIBTHA mengacu pada Surat Keputusan (SK) yang memuat ketentuan terkait sistem informasi, sarana dan prasarana, aspek pengelolaan sarana dan prasarana, kebutuhan hardware, kebutuhan software, e-procurement, serta Sistem Informasi Manajemen (SIM) sarana dan prasarana. Kebijakan tersebut disusun sebagai upaya mendukung pencapaian visi dan misi institusi. Namun demikian, masih diperlukan pembaruan dan pelengkapan data terkait nomor, tanggal, serta substansi kebijakan dimaksud agar sesuai dengan kondisi aktual dan kebutuhan asesmen lapangan.</v>
      </c>
      <c r="H58" s="314"/>
    </row>
    <row r="59" spans="1:8" ht="223.15">
      <c r="A59" s="110">
        <f>'F1'!A56</f>
        <v>46</v>
      </c>
      <c r="B59" s="111" t="str">
        <f>'F1'!B56</f>
        <v>8.4.3</v>
      </c>
      <c r="C59" s="301">
        <v>3</v>
      </c>
      <c r="D59" s="301"/>
      <c r="E59" s="112"/>
      <c r="F59" s="148">
        <f t="shared" si="1"/>
        <v>3</v>
      </c>
      <c r="G59" s="113" t="str">
        <f>'F3'!D52</f>
        <v>Data sudah dikonfirmasi: IAI GIBTHA memiliki konsep rencana induk pengembangan sarana pembelajaran yang didasarkan pada Surat Keputusan (SK) institusi. Di dalamnya memuat ketentuan mengenai sistem informasi, sarana dan prasarana, aspek pengelolaan sarana dan prasarana, kebutuhan hardware, kebutuhan software, e-procurement, serta Sistem Informasi Manajemen (SIM) sarana dan prasarana. Kebijakan tersebut disusun sebagai upaya mendukung tercapainya visi dan misi lembaga. Namun demikian, masih diperlukan pembaruan dan pelengkapan data terkait nomor dan detail kebijakan yang berlaku sesuai kondisi terbaru di lapangan.</v>
      </c>
      <c r="H59" s="314"/>
    </row>
    <row r="60" spans="1:8" ht="51.4" customHeight="1">
      <c r="A60" s="110">
        <f>'F1'!A57</f>
        <v>47</v>
      </c>
      <c r="B60" s="111" t="str">
        <f>'F1'!B57</f>
        <v>9.1.1</v>
      </c>
      <c r="C60" s="301">
        <v>3</v>
      </c>
      <c r="D60" s="301"/>
      <c r="E60" s="112"/>
      <c r="F60" s="148">
        <f t="shared" ref="F60:F65" si="3">AVERAGE(C60:E60)</f>
        <v>3</v>
      </c>
      <c r="G60" s="113" t="str">
        <f>'F3'!D53</f>
        <v>Data Terkonfirmasi: Yayasan Ibnu Atha’illah merupakan organisasi yang mendukung santri Ibnu Atha’illah, yang terbagi dalam lima departemen, yaitu 1) Departemen Humas, yang fokus pada interaksi masyarakat baik secara daring maupun luring, serta kerjasama dengan pihak- pihak di luar Pondok Pesantren Ibnu Atha’illah. 2) Departemen Dakwah, yang berhubungan dengan pengajaran kitab kuning di daerah atau kabupaten, serta para da’i yang siap untuk menyebarluaskan dakwah Islam ke berbagai penjuru. 3) Departemen Pendidikan dan Pelatihan, yang berhubungan dengan pendampingan organisasi dan pengembangan pendidikan di Pondok Pesantren Ibnu Atha’illah di berbagai lokasi, termasuk juga pendirian perguruan tinggi Institut Agama Islam (IAI) Guru Kapuh Ibnu Atha’illah (GIBTHA). 4) Departemen Ekonomi dan Bisnis, yang terlibat dalam kemandirian dan usaha lembaga. 5) Departemen Sekretariat, yang bertanggung jawab untuk mendata alumni santri dari Pondok Pesantren Ibnu Atha’illah. Jumlah Aset lembaga yg dimilki saat ini Rp. 4.706.457.247</v>
      </c>
      <c r="H60" s="314"/>
    </row>
    <row r="61" spans="1:8" ht="55.15" customHeight="1">
      <c r="A61" s="110">
        <f>'F1'!A58</f>
        <v>48</v>
      </c>
      <c r="B61" s="111" t="str">
        <f>'F1'!B58</f>
        <v>9.1.2</v>
      </c>
      <c r="C61" s="301">
        <v>3</v>
      </c>
      <c r="D61" s="301"/>
      <c r="E61" s="112"/>
      <c r="F61" s="148">
        <f t="shared" si="3"/>
        <v>3</v>
      </c>
      <c r="G61" s="113" t="str">
        <f>'F3'!D54</f>
        <v>Data Terkonfirmasi: Laporan keuangan Yayasan DILWA untuk tahun yang berakhir per 31 Desember 2025 sebagaimana terlampir yang terdiri dari
a) Laporan posisi keuangan
b) Laporan aktivitas
c) Laporan arus kas
d) Catatan atas laporan keuangan</v>
      </c>
      <c r="H61" s="314"/>
    </row>
    <row r="62" spans="1:8" ht="131.25">
      <c r="A62" s="110">
        <f>'F1'!A59</f>
        <v>49</v>
      </c>
      <c r="B62" s="111" t="str">
        <f>'F1'!B59</f>
        <v>9.2.1</v>
      </c>
      <c r="C62" s="301">
        <v>3</v>
      </c>
      <c r="D62" s="301"/>
      <c r="E62" s="112"/>
      <c r="F62" s="148">
        <f t="shared" si="3"/>
        <v>3</v>
      </c>
      <c r="G62" s="113" t="str">
        <f>'F3'!D55</f>
        <v>Data Terkonfirmasi: IAI GIBTHA memiliki kebijakan pengelolaan dana yang mencakup aspek: (1) Rencana penerimaan dan pengalokasian, (2) Penyerapan dan penggunaan, (3) Monitoring &amp; evaluasi, (4) Pelaporan, (5) Audit, dan (6) Pertanggungjawaban kepada pemangku kepentingan, serta mekanisme yang mengatur keterlibatan seluruh unit kerja dalam pengelolaan dana institusi.</v>
      </c>
      <c r="H62" s="314"/>
    </row>
    <row r="63" spans="1:8" ht="196.9">
      <c r="A63" s="110">
        <f>'F1'!A60</f>
        <v>50</v>
      </c>
      <c r="B63" s="111" t="str">
        <f>'F1'!B60</f>
        <v>9.2.2</v>
      </c>
      <c r="C63" s="301">
        <v>3</v>
      </c>
      <c r="D63" s="301"/>
      <c r="E63" s="112"/>
      <c r="F63" s="148">
        <f t="shared" ref="F63" si="4">AVERAGE(C63:E63)</f>
        <v>3</v>
      </c>
      <c r="G63" s="113" t="str">
        <f>'F3'!D56</f>
        <v>Data Terkonfirmasi: Proyeksi Arus Kas: IAI GIBTHA sudah menunjukkan sirkulasi keuangan secara:  (1) rinci, (2) lengkap, (3) realistik, (4) logis, dan (5) konsisten dengan analisis pada studi kelayakan, serta tidak ada saldo negatif, dan dilengkapi dengan dokumen pendukung, terutama untuk pengeluaran investasi pembangunan gedung dan peralatan pendidikan. Jumlah Pendapatan tahun 2025 Rp. 29.900.095.122, Posisi keuangan, kegiatan finansial dan laporan aliran kas finansial Yayasan Ibnu Atha’illah dalam mendukung operasi perguruan tinggi yang aman dan sehat</v>
      </c>
      <c r="H63" s="314"/>
    </row>
    <row r="64" spans="1:8" ht="65.650000000000006">
      <c r="A64" s="110">
        <f>'F1'!A61</f>
        <v>51</v>
      </c>
      <c r="B64" s="111" t="str">
        <f>'F1'!B61</f>
        <v>9.2.2.1</v>
      </c>
      <c r="C64" s="301">
        <v>3</v>
      </c>
      <c r="D64" s="301"/>
      <c r="E64" s="112"/>
      <c r="F64" s="148">
        <f t="shared" si="3"/>
        <v>3</v>
      </c>
      <c r="G64" s="113" t="str">
        <f>'F3'!D57</f>
        <v>Data Terkonfirmasi: Ada informasi tentang rencana penerimaan dari sumber mahasiswa Rp. 8.190.000.000, dari total  keseluruhan dana mmasuk yakni: Rp. 45,634,357,188</v>
      </c>
      <c r="H64" s="314"/>
    </row>
    <row r="65" spans="1:8" ht="69" customHeight="1" thickBot="1">
      <c r="A65" s="157">
        <f>'F1'!A62</f>
        <v>52</v>
      </c>
      <c r="B65" s="158" t="str">
        <f>'F1'!B62</f>
        <v>9.2.2.2</v>
      </c>
      <c r="C65" s="302">
        <v>3</v>
      </c>
      <c r="D65" s="302"/>
      <c r="E65" s="159"/>
      <c r="F65" s="160">
        <f t="shared" si="3"/>
        <v>3</v>
      </c>
      <c r="G65" s="161" t="str">
        <f>'F3'!D58</f>
        <v>Data Terkonfirmasi: IAI GIBTHA memiliki rencana penggunaan dana yang realistik untuk penyelenggaraan proses pembelajaran, penelitian dan PkM seluruh program studi dan rencana investasi yang memadai selama minimal 3 tahun ke depan</v>
      </c>
      <c r="H65" s="314"/>
    </row>
    <row r="66" spans="1:8" ht="15.75">
      <c r="A66" s="114"/>
    </row>
    <row r="67" spans="1:8" ht="15.75" customHeight="1">
      <c r="A67" s="34"/>
      <c r="B67" s="34"/>
      <c r="C67" s="29"/>
      <c r="D67" s="26"/>
      <c r="E67" s="26"/>
      <c r="F67" s="29"/>
      <c r="G67" s="115" t="str">
        <f>'F3'!D62</f>
        <v>Sugai Hulu Selatan,  24 Mei 2026</v>
      </c>
      <c r="H67" s="34"/>
    </row>
    <row r="68" spans="1:8" ht="15.75">
      <c r="A68" s="115"/>
      <c r="B68" s="34"/>
      <c r="C68" s="29"/>
      <c r="D68" s="26"/>
      <c r="E68" s="26"/>
      <c r="F68" s="29"/>
      <c r="G68" s="34"/>
      <c r="H68" s="34"/>
    </row>
    <row r="69" spans="1:8" ht="19.5" customHeight="1">
      <c r="A69" s="410" t="s">
        <v>25</v>
      </c>
      <c r="B69" s="410"/>
      <c r="C69" s="410"/>
      <c r="D69" s="410"/>
      <c r="E69" s="410"/>
      <c r="F69" s="410"/>
      <c r="G69" s="410" t="s">
        <v>26</v>
      </c>
      <c r="H69" s="410"/>
    </row>
    <row r="70" spans="1:8" ht="15.75">
      <c r="A70" s="95"/>
      <c r="B70" s="95"/>
      <c r="C70" s="95"/>
      <c r="D70" s="26"/>
      <c r="E70" s="26"/>
      <c r="F70" s="29"/>
      <c r="G70" s="33"/>
      <c r="H70" s="34"/>
    </row>
    <row r="71" spans="1:8" ht="15.75">
      <c r="A71" s="95"/>
      <c r="B71" s="95"/>
      <c r="C71" s="95"/>
      <c r="D71" s="26"/>
      <c r="E71" s="26"/>
      <c r="F71" s="29"/>
      <c r="G71" s="33"/>
      <c r="H71" s="34"/>
    </row>
    <row r="72" spans="1:8" ht="15.75" customHeight="1">
      <c r="A72" s="155" t="s">
        <v>456</v>
      </c>
      <c r="B72" s="155"/>
      <c r="C72" s="33"/>
      <c r="D72" s="33"/>
      <c r="E72" s="33"/>
      <c r="F72" s="33"/>
      <c r="G72" s="413"/>
      <c r="H72" s="413"/>
    </row>
    <row r="73" spans="1:8" ht="15.75">
      <c r="A73" s="38"/>
      <c r="B73" s="37"/>
      <c r="C73" s="33"/>
      <c r="D73" s="26"/>
      <c r="E73" s="26"/>
      <c r="F73" s="29"/>
      <c r="G73" s="33"/>
      <c r="H73" s="34"/>
    </row>
    <row r="74" spans="1:8" ht="18" customHeight="1">
      <c r="A74" s="38"/>
      <c r="B74" s="37"/>
      <c r="C74" s="33"/>
      <c r="D74" s="33"/>
      <c r="E74" s="33"/>
      <c r="F74" s="33"/>
      <c r="H74" s="33"/>
    </row>
    <row r="75" spans="1:8" ht="18" customHeight="1">
      <c r="A75" s="1"/>
      <c r="B75" s="1"/>
      <c r="C75" s="33"/>
      <c r="D75" s="33"/>
      <c r="E75" s="33"/>
      <c r="F75" s="33"/>
      <c r="G75" s="413"/>
      <c r="H75" s="413"/>
    </row>
    <row r="76" spans="1:8" ht="18" customHeight="1">
      <c r="A76" s="155"/>
      <c r="B76" s="155"/>
      <c r="C76" s="33"/>
      <c r="D76" s="33"/>
      <c r="E76" s="33"/>
      <c r="F76" s="33"/>
      <c r="G76" s="30"/>
      <c r="H76" s="30"/>
    </row>
    <row r="77" spans="1:8" ht="15.75" customHeight="1">
      <c r="A77" s="37"/>
      <c r="B77" s="37"/>
      <c r="C77" s="1"/>
      <c r="D77" s="1"/>
      <c r="E77" s="1"/>
      <c r="F77" s="1"/>
      <c r="H77" s="34"/>
    </row>
    <row r="78" spans="1:8" ht="15.75">
      <c r="A78" s="37"/>
      <c r="B78" s="37"/>
      <c r="C78" s="33"/>
      <c r="D78" s="26"/>
      <c r="E78" s="26"/>
      <c r="F78" s="33"/>
      <c r="G78" s="34"/>
      <c r="H78" s="34"/>
    </row>
    <row r="79" spans="1:8">
      <c r="A79" s="1" t="s">
        <v>581</v>
      </c>
      <c r="B79" s="1"/>
      <c r="C79" s="29"/>
      <c r="D79" s="26"/>
      <c r="E79" s="26"/>
      <c r="F79" s="29"/>
      <c r="G79" s="34"/>
      <c r="H79" s="34"/>
    </row>
    <row r="80" spans="1:8">
      <c r="A80" s="34"/>
      <c r="B80" s="34"/>
      <c r="C80" s="29"/>
      <c r="D80" s="26"/>
      <c r="E80" s="26"/>
      <c r="F80" s="29"/>
      <c r="G80" s="34"/>
      <c r="H80" s="34"/>
    </row>
    <row r="81" spans="1:8">
      <c r="A81" s="34"/>
      <c r="B81" s="34"/>
      <c r="C81" s="29"/>
      <c r="D81" s="26"/>
      <c r="E81" s="26"/>
      <c r="F81" s="29"/>
      <c r="G81" s="34"/>
      <c r="H81" s="34"/>
    </row>
    <row r="82" spans="1:8">
      <c r="A82" s="34"/>
      <c r="B82" s="34"/>
      <c r="C82" s="29"/>
      <c r="D82" s="26"/>
      <c r="E82" s="26"/>
      <c r="F82" s="29"/>
      <c r="G82" s="34"/>
      <c r="H82" s="34"/>
    </row>
    <row r="83" spans="1:8">
      <c r="A83" s="34"/>
      <c r="B83" s="34"/>
      <c r="C83" s="29"/>
      <c r="D83" s="26"/>
      <c r="E83" s="26"/>
      <c r="F83" s="29"/>
      <c r="G83" s="34"/>
      <c r="H83" s="34"/>
    </row>
    <row r="84" spans="1:8">
      <c r="A84" s="34"/>
      <c r="B84" s="34"/>
      <c r="C84" s="29"/>
      <c r="D84" s="26"/>
      <c r="E84" s="26"/>
      <c r="F84" s="29"/>
      <c r="G84" s="34"/>
      <c r="H84" s="34"/>
    </row>
  </sheetData>
  <sheetProtection formatColumns="0" formatRows="0" selectLockedCells="1"/>
  <mergeCells count="17">
    <mergeCell ref="A1:H1"/>
    <mergeCell ref="A11:A13"/>
    <mergeCell ref="B11:B13"/>
    <mergeCell ref="G11:G13"/>
    <mergeCell ref="A3:H3"/>
    <mergeCell ref="F5:H5"/>
    <mergeCell ref="G75:H75"/>
    <mergeCell ref="G72:H72"/>
    <mergeCell ref="A69:F69"/>
    <mergeCell ref="G69:H69"/>
    <mergeCell ref="A6:C6"/>
    <mergeCell ref="A7:C7"/>
    <mergeCell ref="F6:G6"/>
    <mergeCell ref="F7:G7"/>
    <mergeCell ref="C11:F11"/>
    <mergeCell ref="A9:H9"/>
    <mergeCell ref="H11:H13"/>
  </mergeCells>
  <phoneticPr fontId="5" type="noConversion"/>
  <pageMargins left="0.7" right="0.7" top="0.75" bottom="0.75" header="0.3" footer="0.3"/>
  <pageSetup orientation="portrait" r:id="rId1"/>
  <headerFooter>
    <oddFooter>&amp;LFormat 6 - &amp;D@&amp;T&amp;CMAGISTER&amp;R&amp;P/&amp;N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J91"/>
  <sheetViews>
    <sheetView tabSelected="1" view="pageBreakPreview" zoomScale="93" zoomScaleNormal="137" zoomScaleSheetLayoutView="93" zoomScalePageLayoutView="80" workbookViewId="0">
      <selection activeCell="E76" sqref="E76:I76"/>
    </sheetView>
  </sheetViews>
  <sheetFormatPr defaultColWidth="8.73046875" defaultRowHeight="15.75"/>
  <cols>
    <col min="1" max="1" width="8.73046875" style="17"/>
    <col min="2" max="2" width="9.265625" style="17" customWidth="1"/>
    <col min="3" max="3" width="8.73046875" style="17"/>
    <col min="4" max="4" width="11.73046875" style="17" customWidth="1"/>
    <col min="5" max="8" width="8.73046875" style="17"/>
    <col min="9" max="9" width="4.86328125" style="17" customWidth="1"/>
    <col min="10" max="16384" width="8.73046875" style="17"/>
  </cols>
  <sheetData>
    <row r="1" spans="1:10">
      <c r="A1" s="411" t="s">
        <v>100</v>
      </c>
      <c r="B1" s="411"/>
      <c r="C1" s="411"/>
      <c r="D1" s="411"/>
      <c r="E1" s="411"/>
      <c r="F1" s="411"/>
      <c r="G1" s="411"/>
      <c r="H1" s="411"/>
      <c r="I1" s="411"/>
      <c r="J1" s="116"/>
    </row>
    <row r="2" spans="1:10">
      <c r="A2" s="108"/>
    </row>
    <row r="3" spans="1:10">
      <c r="A3" s="435" t="s">
        <v>393</v>
      </c>
      <c r="B3" s="435"/>
      <c r="C3" s="435"/>
      <c r="D3" s="436" t="str">
        <f>Menu!H6</f>
        <v>Yayasan Ibnu Atha’illah</v>
      </c>
      <c r="E3" s="436"/>
      <c r="F3" s="436"/>
      <c r="G3" s="436"/>
      <c r="H3" s="436"/>
      <c r="I3" s="436"/>
    </row>
    <row r="4" spans="1:10">
      <c r="A4" s="435" t="s">
        <v>112</v>
      </c>
      <c r="B4" s="435"/>
      <c r="C4" s="435"/>
      <c r="D4" s="28">
        <f>Menu!H10</f>
        <v>0</v>
      </c>
    </row>
    <row r="5" spans="1:10">
      <c r="A5" s="118"/>
      <c r="B5" s="118"/>
      <c r="C5" s="118"/>
      <c r="D5" s="28"/>
    </row>
    <row r="6" spans="1:10" s="308" customFormat="1">
      <c r="A6" s="311" t="s">
        <v>93</v>
      </c>
      <c r="B6" s="118"/>
      <c r="C6" s="118"/>
      <c r="D6" s="28"/>
    </row>
    <row r="7" spans="1:10" s="308" customFormat="1" ht="11.1" customHeight="1">
      <c r="A7" s="435"/>
      <c r="B7" s="435"/>
      <c r="C7" s="435"/>
      <c r="D7" s="309"/>
    </row>
    <row r="8" spans="1:10" s="308" customFormat="1" ht="15.75" customHeight="1">
      <c r="A8" s="426" t="s">
        <v>575</v>
      </c>
      <c r="B8" s="426"/>
      <c r="C8" s="426"/>
      <c r="D8" s="426"/>
      <c r="E8" s="426"/>
      <c r="F8" s="426"/>
      <c r="G8" s="426"/>
      <c r="H8" s="426"/>
      <c r="I8" s="426"/>
      <c r="J8" s="35"/>
    </row>
    <row r="9" spans="1:10" s="308" customFormat="1" ht="14.1" customHeight="1">
      <c r="A9" s="426"/>
      <c r="B9" s="426"/>
      <c r="C9" s="426"/>
      <c r="D9" s="426"/>
      <c r="E9" s="426"/>
      <c r="F9" s="426"/>
      <c r="G9" s="426"/>
      <c r="H9" s="426"/>
      <c r="I9" s="426"/>
      <c r="J9" s="35"/>
    </row>
    <row r="10" spans="1:10" s="308" customFormat="1" ht="15.75" hidden="1" customHeight="1">
      <c r="A10" s="426"/>
      <c r="B10" s="426"/>
      <c r="C10" s="426"/>
      <c r="D10" s="426"/>
      <c r="E10" s="426"/>
      <c r="F10" s="426"/>
      <c r="G10" s="426"/>
      <c r="H10" s="426"/>
      <c r="I10" s="426"/>
      <c r="J10" s="35"/>
    </row>
    <row r="11" spans="1:10" s="308" customFormat="1" ht="15.75" hidden="1" customHeight="1">
      <c r="A11" s="426"/>
      <c r="B11" s="426"/>
      <c r="C11" s="426"/>
      <c r="D11" s="426"/>
      <c r="E11" s="426"/>
      <c r="F11" s="426"/>
      <c r="G11" s="426"/>
      <c r="H11" s="426"/>
      <c r="I11" s="426"/>
      <c r="J11" s="35"/>
    </row>
    <row r="12" spans="1:10" s="308" customFormat="1" ht="15.75" hidden="1" customHeight="1">
      <c r="A12" s="426"/>
      <c r="B12" s="426"/>
      <c r="C12" s="426"/>
      <c r="D12" s="426"/>
      <c r="E12" s="426"/>
      <c r="F12" s="426"/>
      <c r="G12" s="426"/>
      <c r="H12" s="426"/>
      <c r="I12" s="426"/>
      <c r="J12" s="35"/>
    </row>
    <row r="13" spans="1:10" s="308" customFormat="1" ht="105.75" customHeight="1">
      <c r="A13" s="426"/>
      <c r="B13" s="426"/>
      <c r="C13" s="426"/>
      <c r="D13" s="426"/>
      <c r="E13" s="426"/>
      <c r="F13" s="426"/>
      <c r="G13" s="426"/>
      <c r="H13" s="426"/>
      <c r="I13" s="426"/>
      <c r="J13" s="35"/>
    </row>
    <row r="14" spans="1:10" s="308" customFormat="1">
      <c r="A14" s="116" t="s">
        <v>94</v>
      </c>
    </row>
    <row r="15" spans="1:10" s="308" customFormat="1" ht="8.25" customHeight="1">
      <c r="A15" s="108"/>
    </row>
    <row r="16" spans="1:10" s="308" customFormat="1" ht="15.75" customHeight="1">
      <c r="A16" s="421" t="s">
        <v>574</v>
      </c>
      <c r="B16" s="421"/>
      <c r="C16" s="421"/>
      <c r="D16" s="421"/>
      <c r="E16" s="421"/>
      <c r="F16" s="421"/>
      <c r="G16" s="421"/>
      <c r="H16" s="421"/>
      <c r="I16" s="421"/>
      <c r="J16" s="35"/>
    </row>
    <row r="17" spans="1:10" s="308" customFormat="1">
      <c r="A17" s="421"/>
      <c r="B17" s="421"/>
      <c r="C17" s="421"/>
      <c r="D17" s="421"/>
      <c r="E17" s="421"/>
      <c r="F17" s="421"/>
      <c r="G17" s="421"/>
      <c r="H17" s="421"/>
      <c r="I17" s="421"/>
      <c r="J17" s="35"/>
    </row>
    <row r="18" spans="1:10" s="308" customFormat="1">
      <c r="A18" s="421"/>
      <c r="B18" s="421"/>
      <c r="C18" s="421"/>
      <c r="D18" s="421"/>
      <c r="E18" s="421"/>
      <c r="F18" s="421"/>
      <c r="G18" s="421"/>
      <c r="H18" s="421"/>
      <c r="I18" s="421"/>
      <c r="J18" s="35"/>
    </row>
    <row r="19" spans="1:10" s="308" customFormat="1">
      <c r="A19" s="421"/>
      <c r="B19" s="421"/>
      <c r="C19" s="421"/>
      <c r="D19" s="421"/>
      <c r="E19" s="421"/>
      <c r="F19" s="421"/>
      <c r="G19" s="421"/>
      <c r="H19" s="421"/>
      <c r="I19" s="421"/>
      <c r="J19" s="35"/>
    </row>
    <row r="20" spans="1:10" s="308" customFormat="1">
      <c r="A20" s="421"/>
      <c r="B20" s="421"/>
      <c r="C20" s="421"/>
      <c r="D20" s="421"/>
      <c r="E20" s="421"/>
      <c r="F20" s="421"/>
      <c r="G20" s="421"/>
      <c r="H20" s="421"/>
      <c r="I20" s="421"/>
      <c r="J20" s="35"/>
    </row>
    <row r="21" spans="1:10" s="308" customFormat="1" ht="1.1499999999999999" customHeight="1">
      <c r="A21" s="421"/>
      <c r="B21" s="421"/>
      <c r="C21" s="421"/>
      <c r="D21" s="421"/>
      <c r="E21" s="421"/>
      <c r="F21" s="421"/>
      <c r="G21" s="421"/>
      <c r="H21" s="421"/>
      <c r="I21" s="421"/>
      <c r="J21" s="35"/>
    </row>
    <row r="22" spans="1:10" s="308" customFormat="1" ht="41.25" customHeight="1">
      <c r="A22" s="421"/>
      <c r="B22" s="421"/>
      <c r="C22" s="421"/>
      <c r="D22" s="421"/>
      <c r="E22" s="421"/>
      <c r="F22" s="421"/>
      <c r="G22" s="421"/>
      <c r="H22" s="421"/>
      <c r="I22" s="421"/>
    </row>
    <row r="23" spans="1:10" s="308" customFormat="1">
      <c r="A23" s="116" t="s">
        <v>17</v>
      </c>
    </row>
    <row r="24" spans="1:10" s="308" customFormat="1" ht="9.75" customHeight="1">
      <c r="A24" s="142" t="s">
        <v>15</v>
      </c>
    </row>
    <row r="25" spans="1:10" s="308" customFormat="1" ht="15.75" customHeight="1">
      <c r="A25" s="421" t="s">
        <v>576</v>
      </c>
      <c r="B25" s="421"/>
      <c r="C25" s="421"/>
      <c r="D25" s="421"/>
      <c r="E25" s="421"/>
      <c r="F25" s="421"/>
      <c r="G25" s="421"/>
      <c r="H25" s="421"/>
      <c r="I25" s="421"/>
      <c r="J25" s="35"/>
    </row>
    <row r="26" spans="1:10" s="308" customFormat="1">
      <c r="A26" s="421"/>
      <c r="B26" s="421"/>
      <c r="C26" s="421"/>
      <c r="D26" s="421"/>
      <c r="E26" s="421"/>
      <c r="F26" s="421"/>
      <c r="G26" s="421"/>
      <c r="H26" s="421"/>
      <c r="I26" s="421"/>
      <c r="J26" s="35"/>
    </row>
    <row r="27" spans="1:10" s="308" customFormat="1">
      <c r="A27" s="421"/>
      <c r="B27" s="421"/>
      <c r="C27" s="421"/>
      <c r="D27" s="421"/>
      <c r="E27" s="421"/>
      <c r="F27" s="421"/>
      <c r="G27" s="421"/>
      <c r="H27" s="421"/>
      <c r="I27" s="421"/>
      <c r="J27" s="35"/>
    </row>
    <row r="28" spans="1:10" s="308" customFormat="1" ht="212.65" customHeight="1">
      <c r="A28" s="421"/>
      <c r="B28" s="421"/>
      <c r="C28" s="421"/>
      <c r="D28" s="421"/>
      <c r="E28" s="421"/>
      <c r="F28" s="421"/>
      <c r="G28" s="421"/>
      <c r="H28" s="421"/>
      <c r="I28" s="421"/>
      <c r="J28" s="35"/>
    </row>
    <row r="29" spans="1:10" s="308" customFormat="1">
      <c r="A29" s="311" t="s">
        <v>14</v>
      </c>
    </row>
    <row r="30" spans="1:10" s="308" customFormat="1" ht="5.25" customHeight="1">
      <c r="A30" s="114"/>
    </row>
    <row r="31" spans="1:10" s="308" customFormat="1" ht="15.75" customHeight="1">
      <c r="A31" s="421" t="s">
        <v>579</v>
      </c>
      <c r="B31" s="421"/>
      <c r="C31" s="421"/>
      <c r="D31" s="421"/>
      <c r="E31" s="421"/>
      <c r="F31" s="421"/>
      <c r="G31" s="421"/>
      <c r="H31" s="421"/>
      <c r="I31" s="421"/>
      <c r="J31" s="143"/>
    </row>
    <row r="32" spans="1:10" s="308" customFormat="1" ht="135" customHeight="1">
      <c r="A32" s="421"/>
      <c r="B32" s="421"/>
      <c r="C32" s="421"/>
      <c r="D32" s="421"/>
      <c r="E32" s="421"/>
      <c r="F32" s="421"/>
      <c r="G32" s="421"/>
      <c r="H32" s="421"/>
      <c r="I32" s="421"/>
      <c r="J32" s="143"/>
    </row>
    <row r="33" spans="1:10" s="308" customFormat="1" ht="161.25" customHeight="1">
      <c r="A33" s="421"/>
      <c r="B33" s="421"/>
      <c r="C33" s="421"/>
      <c r="D33" s="421"/>
      <c r="E33" s="421"/>
      <c r="F33" s="421"/>
      <c r="G33" s="421"/>
      <c r="H33" s="421"/>
      <c r="I33" s="421"/>
      <c r="J33" s="143"/>
    </row>
    <row r="34" spans="1:10" s="308" customFormat="1" ht="52.5" customHeight="1">
      <c r="A34" s="421"/>
      <c r="B34" s="421"/>
      <c r="C34" s="421"/>
      <c r="D34" s="421"/>
      <c r="E34" s="421"/>
      <c r="F34" s="421"/>
      <c r="G34" s="421"/>
      <c r="H34" s="421"/>
      <c r="I34" s="421"/>
      <c r="J34" s="143"/>
    </row>
    <row r="35" spans="1:10" s="308" customFormat="1" ht="75.75" customHeight="1">
      <c r="A35" s="421"/>
      <c r="B35" s="421"/>
      <c r="C35" s="421"/>
      <c r="D35" s="421"/>
      <c r="E35" s="421"/>
      <c r="F35" s="421"/>
      <c r="G35" s="421"/>
      <c r="H35" s="421"/>
      <c r="I35" s="421"/>
      <c r="J35" s="143"/>
    </row>
    <row r="36" spans="1:10" s="308" customFormat="1">
      <c r="A36" s="437" t="s">
        <v>95</v>
      </c>
      <c r="B36" s="438"/>
      <c r="C36" s="438"/>
      <c r="D36" s="438"/>
      <c r="E36" s="438"/>
      <c r="F36" s="438"/>
      <c r="G36" s="438"/>
      <c r="H36" s="438"/>
      <c r="I36" s="438"/>
    </row>
    <row r="37" spans="1:10" s="308" customFormat="1" ht="6" customHeight="1">
      <c r="A37" s="114"/>
    </row>
    <row r="38" spans="1:10" s="308" customFormat="1" ht="15.75" customHeight="1">
      <c r="A38" s="421" t="s">
        <v>577</v>
      </c>
      <c r="B38" s="421"/>
      <c r="C38" s="421"/>
      <c r="D38" s="421"/>
      <c r="E38" s="421"/>
      <c r="F38" s="421"/>
      <c r="G38" s="421"/>
      <c r="H38" s="421"/>
      <c r="I38" s="421"/>
      <c r="J38" s="35"/>
    </row>
    <row r="39" spans="1:10" s="308" customFormat="1">
      <c r="A39" s="421"/>
      <c r="B39" s="421"/>
      <c r="C39" s="421"/>
      <c r="D39" s="421"/>
      <c r="E39" s="421"/>
      <c r="F39" s="421"/>
      <c r="G39" s="421"/>
      <c r="H39" s="421"/>
      <c r="I39" s="421"/>
      <c r="J39" s="35"/>
    </row>
    <row r="40" spans="1:10" s="308" customFormat="1" ht="83.25" customHeight="1">
      <c r="A40" s="421"/>
      <c r="B40" s="421"/>
      <c r="C40" s="421"/>
      <c r="D40" s="421"/>
      <c r="E40" s="421"/>
      <c r="F40" s="421"/>
      <c r="G40" s="421"/>
      <c r="H40" s="421"/>
      <c r="I40" s="421"/>
      <c r="J40" s="35"/>
    </row>
    <row r="41" spans="1:10" s="308" customFormat="1" ht="142.5" customHeight="1">
      <c r="A41" s="421"/>
      <c r="B41" s="421"/>
      <c r="C41" s="421"/>
      <c r="D41" s="421"/>
      <c r="E41" s="421"/>
      <c r="F41" s="421"/>
      <c r="G41" s="421"/>
      <c r="H41" s="421"/>
      <c r="I41" s="421"/>
      <c r="J41" s="35"/>
    </row>
    <row r="42" spans="1:10" s="308" customFormat="1">
      <c r="A42" s="311" t="s">
        <v>96</v>
      </c>
    </row>
    <row r="43" spans="1:10" s="308" customFormat="1" ht="8.25" customHeight="1">
      <c r="A43" s="114"/>
    </row>
    <row r="44" spans="1:10" s="308" customFormat="1" ht="15.75" customHeight="1">
      <c r="A44" s="421" t="s">
        <v>578</v>
      </c>
      <c r="B44" s="421"/>
      <c r="C44" s="421"/>
      <c r="D44" s="421"/>
      <c r="E44" s="421"/>
      <c r="F44" s="421"/>
      <c r="G44" s="421"/>
      <c r="H44" s="421"/>
      <c r="I44" s="421"/>
      <c r="J44" s="35"/>
    </row>
    <row r="45" spans="1:10" s="308" customFormat="1">
      <c r="A45" s="421"/>
      <c r="B45" s="421"/>
      <c r="C45" s="421"/>
      <c r="D45" s="421"/>
      <c r="E45" s="421"/>
      <c r="F45" s="421"/>
      <c r="G45" s="421"/>
      <c r="H45" s="421"/>
      <c r="I45" s="421"/>
      <c r="J45" s="35"/>
    </row>
    <row r="46" spans="1:10" s="308" customFormat="1" ht="10.15" customHeight="1">
      <c r="A46" s="421"/>
      <c r="B46" s="421"/>
      <c r="C46" s="421"/>
      <c r="D46" s="421"/>
      <c r="E46" s="421"/>
      <c r="F46" s="421"/>
      <c r="G46" s="421"/>
      <c r="H46" s="421"/>
      <c r="I46" s="421"/>
      <c r="J46" s="35"/>
    </row>
    <row r="47" spans="1:10" s="308" customFormat="1" ht="15.75" hidden="1" customHeight="1">
      <c r="A47" s="421"/>
      <c r="B47" s="421"/>
      <c r="C47" s="421"/>
      <c r="D47" s="421"/>
      <c r="E47" s="421"/>
      <c r="F47" s="421"/>
      <c r="G47" s="421"/>
      <c r="H47" s="421"/>
      <c r="I47" s="421"/>
      <c r="J47" s="35"/>
    </row>
    <row r="48" spans="1:10" s="308" customFormat="1" ht="199.15" customHeight="1">
      <c r="A48" s="421"/>
      <c r="B48" s="421"/>
      <c r="C48" s="421"/>
      <c r="D48" s="421"/>
      <c r="E48" s="421"/>
      <c r="F48" s="421"/>
      <c r="G48" s="421"/>
      <c r="H48" s="421"/>
      <c r="I48" s="421"/>
      <c r="J48" s="35"/>
    </row>
    <row r="49" spans="1:10" s="308" customFormat="1">
      <c r="A49" s="310"/>
      <c r="B49" s="310"/>
      <c r="C49" s="310"/>
      <c r="D49" s="310"/>
      <c r="E49" s="310"/>
      <c r="F49" s="310"/>
      <c r="G49" s="310"/>
      <c r="H49" s="310"/>
      <c r="I49" s="310"/>
      <c r="J49" s="35"/>
    </row>
    <row r="50" spans="1:10" s="308" customFormat="1">
      <c r="A50" s="116" t="s">
        <v>97</v>
      </c>
    </row>
    <row r="51" spans="1:10" s="308" customFormat="1" ht="9.75" customHeight="1">
      <c r="A51" s="116"/>
    </row>
    <row r="52" spans="1:10" s="308" customFormat="1" ht="15.75" customHeight="1">
      <c r="A52" s="421" t="s">
        <v>571</v>
      </c>
      <c r="B52" s="421"/>
      <c r="C52" s="421"/>
      <c r="D52" s="421"/>
      <c r="E52" s="421"/>
      <c r="F52" s="421"/>
      <c r="G52" s="421"/>
      <c r="H52" s="421"/>
      <c r="I52" s="421"/>
      <c r="J52" s="35"/>
    </row>
    <row r="53" spans="1:10" s="308" customFormat="1">
      <c r="A53" s="421"/>
      <c r="B53" s="421"/>
      <c r="C53" s="421"/>
      <c r="D53" s="421"/>
      <c r="E53" s="421"/>
      <c r="F53" s="421"/>
      <c r="G53" s="421"/>
      <c r="H53" s="421"/>
      <c r="I53" s="421"/>
      <c r="J53" s="35"/>
    </row>
    <row r="54" spans="1:10" s="308" customFormat="1" ht="236.65" customHeight="1">
      <c r="A54" s="421"/>
      <c r="B54" s="421"/>
      <c r="C54" s="421"/>
      <c r="D54" s="421"/>
      <c r="E54" s="421"/>
      <c r="F54" s="421"/>
      <c r="G54" s="421"/>
      <c r="H54" s="421"/>
      <c r="I54" s="421"/>
      <c r="J54" s="35"/>
    </row>
    <row r="55" spans="1:10" s="308" customFormat="1" ht="8.25" customHeight="1">
      <c r="A55" s="108"/>
    </row>
    <row r="56" spans="1:10" s="308" customFormat="1">
      <c r="A56" s="116" t="s">
        <v>98</v>
      </c>
    </row>
    <row r="57" spans="1:10" s="308" customFormat="1" ht="7.5" customHeight="1">
      <c r="A57" s="114"/>
    </row>
    <row r="58" spans="1:10" s="308" customFormat="1" ht="15.75" customHeight="1">
      <c r="A58" s="421" t="s">
        <v>572</v>
      </c>
      <c r="B58" s="421"/>
      <c r="C58" s="421"/>
      <c r="D58" s="421"/>
      <c r="E58" s="421"/>
      <c r="F58" s="421"/>
      <c r="G58" s="421"/>
      <c r="H58" s="421"/>
      <c r="I58" s="421"/>
      <c r="J58" s="35"/>
    </row>
    <row r="59" spans="1:10" s="308" customFormat="1">
      <c r="A59" s="421"/>
      <c r="B59" s="421"/>
      <c r="C59" s="421"/>
      <c r="D59" s="421"/>
      <c r="E59" s="421"/>
      <c r="F59" s="421"/>
      <c r="G59" s="421"/>
      <c r="H59" s="421"/>
      <c r="I59" s="421"/>
      <c r="J59" s="35"/>
    </row>
    <row r="60" spans="1:10" s="308" customFormat="1">
      <c r="A60" s="421"/>
      <c r="B60" s="421"/>
      <c r="C60" s="421"/>
      <c r="D60" s="421"/>
      <c r="E60" s="421"/>
      <c r="F60" s="421"/>
      <c r="G60" s="421"/>
      <c r="H60" s="421"/>
      <c r="I60" s="421"/>
      <c r="J60" s="35"/>
    </row>
    <row r="61" spans="1:10" s="308" customFormat="1" ht="16.5" customHeight="1">
      <c r="A61" s="421"/>
      <c r="B61" s="421"/>
      <c r="C61" s="421"/>
      <c r="D61" s="421"/>
      <c r="E61" s="421"/>
      <c r="F61" s="421"/>
      <c r="G61" s="421"/>
      <c r="H61" s="421"/>
      <c r="I61" s="421"/>
      <c r="J61" s="35"/>
    </row>
    <row r="62" spans="1:10" s="308" customFormat="1" ht="2.1" hidden="1" customHeight="1">
      <c r="A62" s="421"/>
      <c r="B62" s="421"/>
      <c r="C62" s="421"/>
      <c r="D62" s="421"/>
      <c r="E62" s="421"/>
      <c r="F62" s="421"/>
      <c r="G62" s="421"/>
      <c r="H62" s="421"/>
      <c r="I62" s="421"/>
      <c r="J62" s="35"/>
    </row>
    <row r="63" spans="1:10" s="308" customFormat="1" ht="49.15" hidden="1" customHeight="1">
      <c r="A63" s="421"/>
      <c r="B63" s="421"/>
      <c r="C63" s="421"/>
      <c r="D63" s="421"/>
      <c r="E63" s="421"/>
      <c r="F63" s="421"/>
      <c r="G63" s="421"/>
      <c r="H63" s="421"/>
      <c r="I63" s="421"/>
      <c r="J63" s="35"/>
    </row>
    <row r="64" spans="1:10" s="308" customFormat="1">
      <c r="A64" s="116" t="s">
        <v>99</v>
      </c>
    </row>
    <row r="65" spans="1:10" s="308" customFormat="1" ht="15.75" customHeight="1">
      <c r="A65" s="114"/>
      <c r="J65" s="35"/>
    </row>
    <row r="66" spans="1:10" s="308" customFormat="1" ht="15.75" hidden="1" customHeight="1">
      <c r="A66" s="108"/>
      <c r="J66" s="35"/>
    </row>
    <row r="67" spans="1:10" s="308" customFormat="1" ht="6" hidden="1" customHeight="1">
      <c r="A67" s="116" t="s">
        <v>99</v>
      </c>
      <c r="J67" s="35"/>
    </row>
    <row r="68" spans="1:10" s="308" customFormat="1" ht="15.75" hidden="1" customHeight="1">
      <c r="A68" s="114"/>
      <c r="J68" s="35"/>
    </row>
    <row r="69" spans="1:10" s="308" customFormat="1" ht="115.5" customHeight="1">
      <c r="A69" s="421" t="s">
        <v>573</v>
      </c>
      <c r="B69" s="421"/>
      <c r="C69" s="421"/>
      <c r="D69" s="421"/>
      <c r="E69" s="421"/>
      <c r="F69" s="421"/>
      <c r="G69" s="421"/>
      <c r="H69" s="421"/>
      <c r="I69" s="421"/>
      <c r="J69" s="35"/>
    </row>
    <row r="70" spans="1:10" s="308" customFormat="1" ht="1.5" customHeight="1">
      <c r="A70" s="421"/>
      <c r="B70" s="421"/>
      <c r="C70" s="421"/>
      <c r="D70" s="421"/>
      <c r="E70" s="421"/>
      <c r="F70" s="421"/>
      <c r="G70" s="421"/>
      <c r="H70" s="421"/>
      <c r="I70" s="421"/>
      <c r="J70" s="35"/>
    </row>
    <row r="71" spans="1:10" ht="15.75" hidden="1" customHeight="1">
      <c r="A71" s="421"/>
      <c r="B71" s="421"/>
      <c r="C71" s="421"/>
      <c r="D71" s="421"/>
      <c r="E71" s="421"/>
      <c r="F71" s="421"/>
      <c r="G71" s="421"/>
      <c r="H71" s="421"/>
      <c r="I71" s="421"/>
      <c r="J71" s="35"/>
    </row>
    <row r="72" spans="1:10" ht="6" hidden="1" customHeight="1">
      <c r="A72" s="421"/>
      <c r="B72" s="421"/>
      <c r="C72" s="421"/>
      <c r="D72" s="421"/>
      <c r="E72" s="421"/>
      <c r="F72" s="421"/>
      <c r="G72" s="421"/>
      <c r="H72" s="421"/>
      <c r="I72" s="421"/>
      <c r="J72" s="35"/>
    </row>
    <row r="73" spans="1:10" ht="133.5" customHeight="1">
      <c r="A73" s="421"/>
      <c r="B73" s="421"/>
      <c r="C73" s="421"/>
      <c r="D73" s="421"/>
      <c r="E73" s="421"/>
      <c r="F73" s="421"/>
      <c r="G73" s="421"/>
      <c r="H73" s="421"/>
      <c r="I73" s="421"/>
      <c r="J73" s="35"/>
    </row>
    <row r="74" spans="1:10" ht="12.75" hidden="1" customHeight="1">
      <c r="A74" s="421"/>
      <c r="B74" s="421"/>
      <c r="C74" s="421"/>
      <c r="D74" s="421"/>
      <c r="E74" s="421"/>
      <c r="F74" s="421"/>
      <c r="G74" s="421"/>
      <c r="H74" s="421"/>
      <c r="I74" s="421"/>
      <c r="J74" s="35"/>
    </row>
    <row r="75" spans="1:10">
      <c r="A75" s="144"/>
      <c r="B75" s="35"/>
      <c r="C75" s="35"/>
      <c r="D75" s="35"/>
      <c r="E75" s="35"/>
      <c r="F75" s="35"/>
      <c r="G75" s="35"/>
      <c r="H75" s="35"/>
      <c r="I75" s="35"/>
      <c r="J75" s="35"/>
    </row>
    <row r="76" spans="1:10">
      <c r="A76" s="35"/>
      <c r="B76" s="35"/>
      <c r="C76" s="35"/>
      <c r="D76" s="35"/>
      <c r="E76" s="426" t="s">
        <v>580</v>
      </c>
      <c r="F76" s="426"/>
      <c r="G76" s="426"/>
      <c r="H76" s="426"/>
      <c r="I76" s="426"/>
      <c r="J76" s="35"/>
    </row>
    <row r="77" spans="1:10">
      <c r="A77" s="115"/>
      <c r="B77" s="16"/>
      <c r="C77" s="22"/>
      <c r="D77" s="21"/>
      <c r="E77" s="21"/>
      <c r="F77" s="22"/>
      <c r="G77" s="16"/>
      <c r="H77" s="16"/>
      <c r="I77" s="145"/>
    </row>
    <row r="78" spans="1:10">
      <c r="A78" s="33" t="s">
        <v>25</v>
      </c>
      <c r="B78" s="33"/>
      <c r="C78" s="33"/>
      <c r="D78" s="33"/>
      <c r="E78" s="410" t="s">
        <v>26</v>
      </c>
      <c r="F78" s="410"/>
      <c r="I78" s="145"/>
    </row>
    <row r="79" spans="1:10">
      <c r="A79" s="95"/>
      <c r="B79" s="95"/>
      <c r="C79" s="95"/>
      <c r="D79" s="21"/>
      <c r="E79" s="33"/>
      <c r="F79" s="16"/>
      <c r="I79" s="16"/>
    </row>
    <row r="80" spans="1:10">
      <c r="A80" s="95"/>
      <c r="B80" s="95"/>
      <c r="C80" s="95"/>
      <c r="D80" s="21"/>
      <c r="E80" s="33"/>
      <c r="F80" s="16"/>
      <c r="I80" s="16"/>
    </row>
    <row r="81" spans="1:9" ht="19.5" customHeight="1">
      <c r="A81" s="345" t="s">
        <v>456</v>
      </c>
      <c r="B81" s="345"/>
      <c r="C81" s="345"/>
      <c r="D81" s="345"/>
      <c r="E81" s="33"/>
      <c r="F81" s="16"/>
      <c r="I81" s="16"/>
    </row>
    <row r="82" spans="1:9">
      <c r="A82" s="1"/>
      <c r="B82" s="1"/>
      <c r="C82" s="33"/>
      <c r="D82" s="33"/>
      <c r="E82" s="33"/>
      <c r="F82" s="16"/>
      <c r="I82" s="16"/>
    </row>
    <row r="83" spans="1:9">
      <c r="A83" s="36"/>
      <c r="B83" s="146"/>
      <c r="C83" s="33"/>
      <c r="D83" s="21"/>
      <c r="E83" s="33"/>
      <c r="F83" s="16"/>
      <c r="I83" s="16"/>
    </row>
    <row r="84" spans="1:9">
      <c r="A84" s="345" t="s">
        <v>581</v>
      </c>
      <c r="B84" s="345"/>
      <c r="C84" s="345"/>
      <c r="D84" s="345"/>
      <c r="F84" s="33"/>
      <c r="I84" s="16"/>
    </row>
    <row r="85" spans="1:9">
      <c r="A85" s="1"/>
      <c r="B85" s="1"/>
      <c r="C85" s="33"/>
      <c r="D85" s="33"/>
      <c r="E85" s="33"/>
      <c r="F85" s="30"/>
      <c r="I85" s="16"/>
    </row>
    <row r="86" spans="1:9">
      <c r="A86" s="413"/>
      <c r="B86" s="413"/>
      <c r="C86" s="33"/>
      <c r="D86" s="33"/>
      <c r="E86" s="30"/>
      <c r="F86" s="30"/>
      <c r="I86" s="16"/>
    </row>
    <row r="87" spans="1:9">
      <c r="A87" s="146"/>
      <c r="B87" s="146"/>
      <c r="C87" s="33"/>
      <c r="D87" s="33"/>
      <c r="F87" s="16"/>
      <c r="I87" s="16"/>
    </row>
    <row r="88" spans="1:9">
      <c r="A88" s="146"/>
      <c r="B88" s="146"/>
      <c r="C88" s="33"/>
      <c r="D88" s="21"/>
      <c r="E88" s="16"/>
      <c r="F88" s="16"/>
      <c r="I88" s="16"/>
    </row>
    <row r="89" spans="1:9">
      <c r="A89" s="410"/>
      <c r="B89" s="410"/>
      <c r="C89" s="22"/>
      <c r="D89" s="21"/>
      <c r="E89" s="16"/>
      <c r="F89" s="16"/>
      <c r="I89" s="16"/>
    </row>
    <row r="90" spans="1:9">
      <c r="A90" s="16"/>
      <c r="B90" s="16"/>
      <c r="C90" s="16"/>
      <c r="D90" s="16"/>
      <c r="E90" s="16"/>
      <c r="F90" s="16"/>
      <c r="G90" s="16"/>
      <c r="H90" s="16"/>
      <c r="I90" s="16"/>
    </row>
    <row r="91" spans="1:9">
      <c r="A91" s="16"/>
      <c r="B91" s="16"/>
      <c r="C91" s="16"/>
      <c r="D91" s="16"/>
      <c r="E91" s="16"/>
      <c r="F91" s="16"/>
      <c r="G91" s="16"/>
      <c r="H91" s="16"/>
      <c r="I91" s="16"/>
    </row>
  </sheetData>
  <sheetProtection formatColumns="0" formatRows="0" selectLockedCells="1"/>
  <mergeCells count="21">
    <mergeCell ref="A4:C4"/>
    <mergeCell ref="A1:I1"/>
    <mergeCell ref="A3:C3"/>
    <mergeCell ref="D3:I3"/>
    <mergeCell ref="A58:I63"/>
    <mergeCell ref="A8:I13"/>
    <mergeCell ref="A16:I22"/>
    <mergeCell ref="A25:I28"/>
    <mergeCell ref="A7:C7"/>
    <mergeCell ref="A31:I35"/>
    <mergeCell ref="A36:I36"/>
    <mergeCell ref="A38:I41"/>
    <mergeCell ref="A44:I48"/>
    <mergeCell ref="A52:I54"/>
    <mergeCell ref="A89:B89"/>
    <mergeCell ref="E76:I76"/>
    <mergeCell ref="A69:I74"/>
    <mergeCell ref="E78:F78"/>
    <mergeCell ref="A81:D81"/>
    <mergeCell ref="A84:D84"/>
    <mergeCell ref="A86:B86"/>
  </mergeCells>
  <phoneticPr fontId="5" type="noConversion"/>
  <pageMargins left="0.98" right="0.7" top="0.75" bottom="0.75" header="0.3" footer="0.3"/>
  <pageSetup paperSize="9" orientation="portrait" r:id="rId1"/>
  <headerFooter>
    <oddFooter>&amp;LFormat 9 - &amp;D@&amp;T&amp;CMAGISTER&amp;R&amp;P/&amp;N</oddFooter>
  </headerFooter>
  <rowBreaks count="1" manualBreakCount="1">
    <brk id="5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pageSetUpPr fitToPage="1"/>
  </sheetPr>
  <dimension ref="A1:P68"/>
  <sheetViews>
    <sheetView zoomScale="70" zoomScaleNormal="70" zoomScalePageLayoutView="80" workbookViewId="0">
      <pane ySplit="6" topLeftCell="A7" activePane="bottomLeft" state="frozen"/>
      <selection pane="bottomLeft" activeCell="H1" sqref="H1"/>
    </sheetView>
  </sheetViews>
  <sheetFormatPr defaultColWidth="8.73046875" defaultRowHeight="15" customHeight="1"/>
  <cols>
    <col min="1" max="1" width="3.73046875" style="154" customWidth="1"/>
    <col min="2" max="2" width="12.73046875" style="25" customWidth="1"/>
    <col min="3" max="4" width="14.73046875" style="25" customWidth="1"/>
    <col min="5" max="5" width="18.1328125" style="25" bestFit="1" customWidth="1"/>
    <col min="6" max="6" width="4.73046875" style="154" customWidth="1"/>
    <col min="7" max="7" width="12.73046875" style="154" customWidth="1"/>
    <col min="8" max="8" width="100.73046875" style="154" customWidth="1"/>
    <col min="9" max="10" width="6.73046875" style="154" customWidth="1"/>
    <col min="11" max="11" width="4.73046875" style="154" customWidth="1"/>
    <col min="12" max="13" width="10.73046875" style="25" customWidth="1"/>
    <col min="14" max="14" width="10.73046875" style="154" customWidth="1"/>
    <col min="15" max="15" width="14.73046875" style="25" customWidth="1"/>
    <col min="16" max="16" width="3.73046875" style="154" customWidth="1"/>
    <col min="17" max="16384" width="8.73046875" style="154"/>
  </cols>
  <sheetData>
    <row r="1" spans="1:16" ht="15" customHeight="1">
      <c r="A1" s="191" t="s">
        <v>209</v>
      </c>
      <c r="C1" s="191"/>
      <c r="D1" s="191"/>
      <c r="E1" s="93"/>
      <c r="K1" s="155"/>
      <c r="L1" s="155"/>
      <c r="M1" s="155"/>
      <c r="N1" s="93"/>
      <c r="O1" s="93"/>
    </row>
    <row r="2" spans="1:16" ht="15" customHeight="1">
      <c r="A2" s="93"/>
      <c r="C2" s="93"/>
      <c r="D2" s="93"/>
      <c r="E2" s="21"/>
      <c r="K2" s="156"/>
      <c r="L2" s="156"/>
      <c r="M2" s="156"/>
      <c r="N2" s="21"/>
      <c r="O2" s="21"/>
    </row>
    <row r="3" spans="1:16" ht="15" customHeight="1">
      <c r="A3" s="192" t="s">
        <v>21</v>
      </c>
      <c r="C3" s="193"/>
      <c r="D3" s="194" t="str">
        <f>'F1'!D5</f>
        <v>Yayasan Ibnu Atha’illah</v>
      </c>
      <c r="K3" s="196"/>
      <c r="M3" s="192"/>
      <c r="N3" s="192"/>
      <c r="O3" s="192"/>
    </row>
    <row r="4" spans="1:16" ht="15" customHeight="1">
      <c r="A4" s="192" t="s">
        <v>22</v>
      </c>
      <c r="C4" s="193"/>
      <c r="D4" s="192" t="str">
        <f>'F1'!D6</f>
        <v>Prof.Dr. Ramdani Wahyu Suurie, M.Ag.,M.Si</v>
      </c>
      <c r="K4" s="196"/>
      <c r="M4" s="192"/>
      <c r="N4" s="192"/>
      <c r="O4" s="192"/>
    </row>
    <row r="5" spans="1:16" ht="15" customHeight="1">
      <c r="A5" s="192" t="s">
        <v>112</v>
      </c>
      <c r="C5" s="193"/>
      <c r="D5" s="192">
        <f>'F1'!D7</f>
        <v>0</v>
      </c>
      <c r="K5" s="196"/>
      <c r="M5" s="192"/>
      <c r="N5" s="32"/>
      <c r="O5" s="32"/>
    </row>
    <row r="6" spans="1:16" ht="15" customHeight="1">
      <c r="A6" s="192" t="s">
        <v>113</v>
      </c>
      <c r="C6" s="193"/>
      <c r="D6" s="228" t="str">
        <f>'F1'!D8</f>
        <v>12 Mei 2026</v>
      </c>
      <c r="K6" s="196"/>
      <c r="M6" s="195"/>
      <c r="N6" s="32"/>
      <c r="O6" s="32"/>
    </row>
    <row r="7" spans="1:16" ht="15" customHeight="1" thickBot="1"/>
    <row r="8" spans="1:16" ht="15" customHeight="1" thickTop="1">
      <c r="A8" s="197"/>
      <c r="B8" s="198"/>
      <c r="C8" s="198"/>
      <c r="D8" s="198"/>
      <c r="E8" s="198"/>
      <c r="F8" s="199"/>
      <c r="G8" s="199"/>
      <c r="H8" s="199"/>
      <c r="I8" s="199"/>
      <c r="J8" s="199"/>
      <c r="K8" s="199"/>
      <c r="L8" s="198"/>
      <c r="M8" s="198"/>
      <c r="N8" s="199"/>
      <c r="O8" s="198"/>
      <c r="P8" s="200"/>
    </row>
    <row r="9" spans="1:16" ht="20.25" customHeight="1">
      <c r="A9" s="201"/>
      <c r="B9" s="346" t="s">
        <v>70</v>
      </c>
      <c r="C9" s="347" t="s">
        <v>69</v>
      </c>
      <c r="D9" s="347"/>
      <c r="E9" s="347"/>
      <c r="G9" s="336" t="s">
        <v>214</v>
      </c>
      <c r="H9" s="337"/>
      <c r="I9" s="337"/>
      <c r="J9" s="338"/>
      <c r="K9" s="25"/>
      <c r="L9" s="348" t="s">
        <v>1</v>
      </c>
      <c r="M9" s="348"/>
      <c r="N9" s="348"/>
      <c r="O9" s="348"/>
      <c r="P9" s="202"/>
    </row>
    <row r="10" spans="1:16" ht="15" customHeight="1">
      <c r="A10" s="201"/>
      <c r="B10" s="346"/>
      <c r="C10" s="190" t="s">
        <v>0</v>
      </c>
      <c r="D10" s="190" t="s">
        <v>9</v>
      </c>
      <c r="E10" s="190" t="s">
        <v>71</v>
      </c>
      <c r="G10" s="252" t="s">
        <v>211</v>
      </c>
      <c r="H10" s="252" t="s">
        <v>136</v>
      </c>
      <c r="I10" s="252" t="s">
        <v>212</v>
      </c>
      <c r="J10" s="252" t="s">
        <v>213</v>
      </c>
      <c r="K10" s="25"/>
      <c r="L10" s="334" t="s">
        <v>214</v>
      </c>
      <c r="M10" s="334"/>
      <c r="N10" s="334"/>
      <c r="O10" s="335" t="str">
        <f>IF(J30=0,"Terpenuhi","Belum Terpenuhi")</f>
        <v>Terpenuhi</v>
      </c>
      <c r="P10" s="202"/>
    </row>
    <row r="11" spans="1:16" ht="15" customHeight="1">
      <c r="A11" s="201"/>
      <c r="B11" s="203">
        <v>1</v>
      </c>
      <c r="C11" s="232">
        <f>'F1'!E11</f>
        <v>3</v>
      </c>
      <c r="D11" s="232">
        <v>5</v>
      </c>
      <c r="E11" s="232">
        <f>C11*D11</f>
        <v>15</v>
      </c>
      <c r="G11" s="258">
        <v>3</v>
      </c>
      <c r="H11" s="206" t="s">
        <v>116</v>
      </c>
      <c r="I11" s="203" t="str">
        <f>IF(C13=4,"V","")</f>
        <v>V</v>
      </c>
      <c r="J11" s="203" t="str">
        <f>IF(C13=0,"X","")</f>
        <v/>
      </c>
      <c r="L11" s="334"/>
      <c r="M11" s="334"/>
      <c r="N11" s="334"/>
      <c r="O11" s="335"/>
      <c r="P11" s="202"/>
    </row>
    <row r="12" spans="1:16" ht="15" customHeight="1">
      <c r="A12" s="201"/>
      <c r="B12" s="203">
        <f>B11+1</f>
        <v>2</v>
      </c>
      <c r="C12" s="232">
        <f>'F1'!E12</f>
        <v>3</v>
      </c>
      <c r="D12" s="232">
        <v>5</v>
      </c>
      <c r="E12" s="232">
        <f t="shared" ref="E12:E62" si="0">C12*D12</f>
        <v>15</v>
      </c>
      <c r="G12" s="258">
        <v>4</v>
      </c>
      <c r="H12" s="206" t="s">
        <v>115</v>
      </c>
      <c r="I12" s="203" t="str">
        <f>IF(C14=4,"V","")</f>
        <v>V</v>
      </c>
      <c r="J12" s="203" t="str">
        <f>IF(C14=0,"X","")</f>
        <v/>
      </c>
      <c r="L12" s="334"/>
      <c r="M12" s="334"/>
      <c r="N12" s="334"/>
      <c r="O12" s="335"/>
      <c r="P12" s="202"/>
    </row>
    <row r="13" spans="1:16" ht="15" customHeight="1">
      <c r="A13" s="201"/>
      <c r="B13" s="260">
        <f t="shared" ref="B13:B62" si="1">B12+1</f>
        <v>3</v>
      </c>
      <c r="C13" s="247">
        <f>'F1'!E13</f>
        <v>4</v>
      </c>
      <c r="D13" s="247">
        <v>0</v>
      </c>
      <c r="E13" s="247">
        <f t="shared" si="0"/>
        <v>0</v>
      </c>
      <c r="G13" s="205">
        <v>9</v>
      </c>
      <c r="H13" s="206" t="s">
        <v>210</v>
      </c>
      <c r="I13" s="203" t="str">
        <f>IF(C19=4,"V","")</f>
        <v>V</v>
      </c>
      <c r="J13" s="203" t="str">
        <f>IF(C19=0,"X","")</f>
        <v/>
      </c>
      <c r="L13" s="324" t="s">
        <v>215</v>
      </c>
      <c r="M13" s="325"/>
      <c r="N13" s="326"/>
      <c r="O13" s="333">
        <f>E64</f>
        <v>290.16611111111126</v>
      </c>
      <c r="P13" s="202"/>
    </row>
    <row r="14" spans="1:16" ht="15" customHeight="1">
      <c r="A14" s="201"/>
      <c r="B14" s="260">
        <f t="shared" si="1"/>
        <v>4</v>
      </c>
      <c r="C14" s="247">
        <f>'F1'!E14</f>
        <v>4</v>
      </c>
      <c r="D14" s="247">
        <v>0</v>
      </c>
      <c r="E14" s="247">
        <f t="shared" si="0"/>
        <v>0</v>
      </c>
      <c r="G14" s="205">
        <v>10</v>
      </c>
      <c r="H14" s="206" t="s">
        <v>137</v>
      </c>
      <c r="I14" s="203" t="str">
        <f>IF(C20=4,"V","")</f>
        <v>V</v>
      </c>
      <c r="J14" s="203" t="str">
        <f>IF(C20=0,"X","")</f>
        <v/>
      </c>
      <c r="L14" s="327"/>
      <c r="M14" s="328"/>
      <c r="N14" s="329"/>
      <c r="O14" s="333"/>
      <c r="P14" s="202"/>
    </row>
    <row r="15" spans="1:16" ht="15" customHeight="1">
      <c r="A15" s="201"/>
      <c r="B15" s="203">
        <f t="shared" si="1"/>
        <v>5</v>
      </c>
      <c r="C15" s="232">
        <f>'F1'!E15</f>
        <v>3</v>
      </c>
      <c r="D15" s="232">
        <v>1.8518518518518516</v>
      </c>
      <c r="E15" s="232">
        <f t="shared" si="0"/>
        <v>5.5555555555555554</v>
      </c>
      <c r="G15" s="205">
        <v>11</v>
      </c>
      <c r="H15" s="206" t="s">
        <v>138</v>
      </c>
      <c r="I15" s="203" t="str">
        <f>IF(C21=4,"V","")</f>
        <v>V</v>
      </c>
      <c r="J15" s="203" t="str">
        <f>IF(C21=0,"X","")</f>
        <v/>
      </c>
      <c r="L15" s="330"/>
      <c r="M15" s="331"/>
      <c r="N15" s="332"/>
      <c r="O15" s="333"/>
      <c r="P15" s="202"/>
    </row>
    <row r="16" spans="1:16" ht="15" customHeight="1">
      <c r="A16" s="201"/>
      <c r="B16" s="203">
        <f t="shared" si="1"/>
        <v>6</v>
      </c>
      <c r="C16" s="232">
        <f>'F1'!E16</f>
        <v>3</v>
      </c>
      <c r="D16" s="232">
        <v>1.8518518518518516</v>
      </c>
      <c r="E16" s="232">
        <f t="shared" si="0"/>
        <v>5.5555555555555554</v>
      </c>
      <c r="G16" s="205">
        <v>18</v>
      </c>
      <c r="H16" s="206" t="s">
        <v>205</v>
      </c>
      <c r="I16" s="203" t="str">
        <f>IF(C28=4,"V","")</f>
        <v>V</v>
      </c>
      <c r="J16" s="203" t="str">
        <f>IF(C28=0,"X","")</f>
        <v/>
      </c>
      <c r="L16" s="334" t="s">
        <v>216</v>
      </c>
      <c r="M16" s="334"/>
      <c r="N16" s="334"/>
      <c r="O16" s="335" t="str">
        <f>IF(AND(O10="Terpenuhi",O13&gt;=200),"Terakreditasi Minimum","Tidak Terakreditasi Minimum")</f>
        <v>Terakreditasi Minimum</v>
      </c>
      <c r="P16" s="202"/>
    </row>
    <row r="17" spans="1:16" ht="15" customHeight="1">
      <c r="A17" s="201"/>
      <c r="B17" s="203">
        <f t="shared" si="1"/>
        <v>7</v>
      </c>
      <c r="C17" s="232">
        <f>'F1'!E17</f>
        <v>3</v>
      </c>
      <c r="D17" s="232">
        <v>3.7037037037037033</v>
      </c>
      <c r="E17" s="232">
        <f t="shared" si="0"/>
        <v>11.111111111111111</v>
      </c>
      <c r="G17" s="205">
        <v>22</v>
      </c>
      <c r="H17" s="206" t="s">
        <v>196</v>
      </c>
      <c r="I17" s="203" t="str">
        <f>IF(C32=4,"V","")</f>
        <v>V</v>
      </c>
      <c r="J17" s="203" t="str">
        <f>IF(C32=0,"X","")</f>
        <v/>
      </c>
      <c r="L17" s="334"/>
      <c r="M17" s="334"/>
      <c r="N17" s="334"/>
      <c r="O17" s="335"/>
      <c r="P17" s="202"/>
    </row>
    <row r="18" spans="1:16" ht="15" customHeight="1">
      <c r="A18" s="201"/>
      <c r="B18" s="203">
        <f t="shared" si="1"/>
        <v>8</v>
      </c>
      <c r="C18" s="232">
        <f>'F1'!E18</f>
        <v>3</v>
      </c>
      <c r="D18" s="232">
        <v>1.8518518518518516</v>
      </c>
      <c r="E18" s="232">
        <f t="shared" si="0"/>
        <v>5.5555555555555554</v>
      </c>
      <c r="G18" s="258">
        <v>31</v>
      </c>
      <c r="H18" s="206" t="s">
        <v>139</v>
      </c>
      <c r="I18" s="203" t="str">
        <f>IF(C41=4,"V","")</f>
        <v>V</v>
      </c>
      <c r="J18" s="203" t="str">
        <f>IF(C41=0,"X","")</f>
        <v/>
      </c>
      <c r="L18" s="334"/>
      <c r="M18" s="334"/>
      <c r="N18" s="334"/>
      <c r="O18" s="335"/>
      <c r="P18" s="202"/>
    </row>
    <row r="19" spans="1:16" ht="15" customHeight="1">
      <c r="A19" s="201"/>
      <c r="B19" s="203">
        <f t="shared" si="1"/>
        <v>9</v>
      </c>
      <c r="C19" s="247">
        <f>'F1'!E19</f>
        <v>4</v>
      </c>
      <c r="D19" s="247">
        <v>0</v>
      </c>
      <c r="E19" s="247">
        <f t="shared" si="0"/>
        <v>0</v>
      </c>
      <c r="G19" s="258">
        <v>33</v>
      </c>
      <c r="H19" s="206" t="s">
        <v>141</v>
      </c>
      <c r="I19" s="203" t="str">
        <f>IF(C43=4,"V","")</f>
        <v>V</v>
      </c>
      <c r="J19" s="203" t="str">
        <f>IF(C43=0,"X","")</f>
        <v/>
      </c>
      <c r="L19" s="334"/>
      <c r="M19" s="334"/>
      <c r="N19" s="334"/>
      <c r="O19" s="335"/>
      <c r="P19" s="202"/>
    </row>
    <row r="20" spans="1:16" ht="15" customHeight="1">
      <c r="A20" s="201"/>
      <c r="B20" s="203">
        <f t="shared" si="1"/>
        <v>10</v>
      </c>
      <c r="C20" s="247">
        <f>'F1'!E20</f>
        <v>4</v>
      </c>
      <c r="D20" s="247">
        <v>0</v>
      </c>
      <c r="E20" s="247">
        <f t="shared" si="0"/>
        <v>0</v>
      </c>
      <c r="G20" s="205">
        <v>34</v>
      </c>
      <c r="H20" s="206" t="s">
        <v>111</v>
      </c>
      <c r="I20" s="203" t="str">
        <f>IF(C44=4,"V","")</f>
        <v>V</v>
      </c>
      <c r="J20" s="203" t="str">
        <f>IF(C44=0,"X","")</f>
        <v/>
      </c>
      <c r="L20" s="154"/>
      <c r="M20" s="154"/>
      <c r="O20" s="154"/>
      <c r="P20" s="202"/>
    </row>
    <row r="21" spans="1:16" ht="15" customHeight="1">
      <c r="A21" s="201"/>
      <c r="B21" s="203">
        <f t="shared" si="1"/>
        <v>11</v>
      </c>
      <c r="C21" s="247">
        <f>'F1'!E21</f>
        <v>4</v>
      </c>
      <c r="D21" s="247">
        <v>0</v>
      </c>
      <c r="E21" s="247">
        <f t="shared" si="0"/>
        <v>0</v>
      </c>
      <c r="G21" s="205">
        <v>35</v>
      </c>
      <c r="H21" s="206" t="s">
        <v>147</v>
      </c>
      <c r="I21" s="203" t="str">
        <f>IF(C45=4,"V","")</f>
        <v>V</v>
      </c>
      <c r="J21" s="203" t="str">
        <f>IF(C45=0,"X","")</f>
        <v/>
      </c>
      <c r="P21" s="202"/>
    </row>
    <row r="22" spans="1:16" ht="15" customHeight="1">
      <c r="A22" s="201"/>
      <c r="B22" s="203">
        <f t="shared" si="1"/>
        <v>12</v>
      </c>
      <c r="C22" s="232">
        <f>'F1'!E22</f>
        <v>2</v>
      </c>
      <c r="D22" s="264">
        <v>1.8518518518518516</v>
      </c>
      <c r="E22" s="232">
        <f t="shared" si="0"/>
        <v>3.7037037037037033</v>
      </c>
      <c r="G22" s="205">
        <v>36</v>
      </c>
      <c r="H22" s="206" t="s">
        <v>148</v>
      </c>
      <c r="I22" s="203" t="str">
        <f>IF(C46=4,"V","")</f>
        <v>V</v>
      </c>
      <c r="J22" s="203" t="str">
        <f>IF(C46=0,"X","")</f>
        <v/>
      </c>
      <c r="L22" s="154"/>
      <c r="M22" s="154"/>
      <c r="O22" s="154"/>
      <c r="P22" s="202"/>
    </row>
    <row r="23" spans="1:16" ht="15" customHeight="1">
      <c r="A23" s="201"/>
      <c r="B23" s="203">
        <f t="shared" si="1"/>
        <v>13</v>
      </c>
      <c r="C23" s="232">
        <f>'F1'!E23</f>
        <v>3</v>
      </c>
      <c r="D23" s="232">
        <v>3.7037037037037033</v>
      </c>
      <c r="E23" s="232">
        <f t="shared" si="0"/>
        <v>11.111111111111111</v>
      </c>
      <c r="G23" s="205">
        <v>37</v>
      </c>
      <c r="H23" s="206" t="s">
        <v>183</v>
      </c>
      <c r="I23" s="203" t="str">
        <f>IF(C47=4,"V","")</f>
        <v>V</v>
      </c>
      <c r="J23" s="203" t="str">
        <f>IF(C47=0,"X","")</f>
        <v/>
      </c>
      <c r="L23" s="154"/>
      <c r="M23" s="154"/>
      <c r="O23" s="154"/>
      <c r="P23" s="202"/>
    </row>
    <row r="24" spans="1:16" ht="15" customHeight="1">
      <c r="A24" s="201"/>
      <c r="B24" s="203">
        <f t="shared" si="1"/>
        <v>14</v>
      </c>
      <c r="C24" s="232">
        <f>'F1'!E24</f>
        <v>4</v>
      </c>
      <c r="D24" s="232">
        <v>1.8518518518518516</v>
      </c>
      <c r="E24" s="232">
        <f t="shared" si="0"/>
        <v>7.4074074074074066</v>
      </c>
      <c r="G24" s="205">
        <v>39</v>
      </c>
      <c r="H24" s="206" t="s">
        <v>142</v>
      </c>
      <c r="I24" s="203" t="str">
        <f>IF(C49=4,"V","")</f>
        <v>V</v>
      </c>
      <c r="J24" s="203" t="str">
        <f>IF(C49=0,"X","")</f>
        <v/>
      </c>
      <c r="L24" s="154"/>
      <c r="M24" s="154"/>
      <c r="O24" s="154"/>
      <c r="P24" s="202"/>
    </row>
    <row r="25" spans="1:16" ht="15" customHeight="1">
      <c r="A25" s="201"/>
      <c r="B25" s="203">
        <f t="shared" si="1"/>
        <v>15</v>
      </c>
      <c r="C25" s="232">
        <f>'F1'!E25</f>
        <v>3</v>
      </c>
      <c r="D25" s="232">
        <v>3.3333333333333335</v>
      </c>
      <c r="E25" s="232">
        <f t="shared" si="0"/>
        <v>10</v>
      </c>
      <c r="G25" s="205">
        <v>41</v>
      </c>
      <c r="H25" s="206" t="s">
        <v>144</v>
      </c>
      <c r="I25" s="203" t="str">
        <f>IF(C51=4,"V","")</f>
        <v>V</v>
      </c>
      <c r="J25" s="203" t="str">
        <f>IF(C51=0,"X","")</f>
        <v/>
      </c>
      <c r="P25" s="202"/>
    </row>
    <row r="26" spans="1:16" ht="15" customHeight="1">
      <c r="A26" s="201"/>
      <c r="B26" s="203">
        <f t="shared" si="1"/>
        <v>16</v>
      </c>
      <c r="C26" s="232">
        <f>'F1'!E26</f>
        <v>4</v>
      </c>
      <c r="D26" s="232">
        <v>3.3333333333333335</v>
      </c>
      <c r="E26" s="232">
        <f t="shared" si="0"/>
        <v>13.333333333333334</v>
      </c>
      <c r="G26" s="257">
        <v>47</v>
      </c>
      <c r="H26" s="206" t="s">
        <v>134</v>
      </c>
      <c r="I26" s="203" t="str">
        <f>IF(C57=4,"V","")</f>
        <v>V</v>
      </c>
      <c r="J26" s="203" t="str">
        <f>IF(C57=0,"X","")</f>
        <v/>
      </c>
      <c r="P26" s="202"/>
    </row>
    <row r="27" spans="1:16" ht="15" customHeight="1">
      <c r="A27" s="201"/>
      <c r="B27" s="203">
        <f t="shared" si="1"/>
        <v>17</v>
      </c>
      <c r="C27" s="232">
        <f>'F1'!E27</f>
        <v>3</v>
      </c>
      <c r="D27" s="232">
        <v>1.8181818181818183</v>
      </c>
      <c r="E27" s="232">
        <f t="shared" si="0"/>
        <v>5.454545454545455</v>
      </c>
      <c r="G27" s="257">
        <v>48</v>
      </c>
      <c r="H27" s="206" t="s">
        <v>133</v>
      </c>
      <c r="I27" s="203" t="str">
        <f>IF(C58=4,"V","")</f>
        <v>V</v>
      </c>
      <c r="J27" s="203" t="str">
        <f>IF(C58=0,"X","")</f>
        <v/>
      </c>
      <c r="P27" s="202"/>
    </row>
    <row r="28" spans="1:16" ht="15" customHeight="1">
      <c r="A28" s="201"/>
      <c r="B28" s="203">
        <f t="shared" si="1"/>
        <v>18</v>
      </c>
      <c r="C28" s="247">
        <f>'F1'!E28</f>
        <v>4</v>
      </c>
      <c r="D28" s="247">
        <v>0</v>
      </c>
      <c r="E28" s="247">
        <f t="shared" si="0"/>
        <v>0</v>
      </c>
      <c r="G28" s="257">
        <v>50</v>
      </c>
      <c r="H28" s="206" t="s">
        <v>347</v>
      </c>
      <c r="I28" s="203" t="str">
        <f>IF(C60=4,"V","")</f>
        <v>V</v>
      </c>
      <c r="J28" s="203" t="str">
        <f>IF(C60=0,"X","")</f>
        <v/>
      </c>
      <c r="P28" s="202"/>
    </row>
    <row r="29" spans="1:16" ht="15" customHeight="1">
      <c r="A29" s="201"/>
      <c r="B29" s="203">
        <f t="shared" si="1"/>
        <v>19</v>
      </c>
      <c r="C29" s="232">
        <f>'F1'!E29</f>
        <v>4</v>
      </c>
      <c r="D29" s="232">
        <v>3.6363636363636367</v>
      </c>
      <c r="E29" s="232">
        <f t="shared" si="0"/>
        <v>14.545454545454547</v>
      </c>
      <c r="G29" s="263"/>
      <c r="H29" s="262"/>
      <c r="I29" s="25"/>
      <c r="J29" s="217"/>
      <c r="P29" s="202"/>
    </row>
    <row r="30" spans="1:16" ht="15" customHeight="1">
      <c r="A30" s="201"/>
      <c r="B30" s="203">
        <f t="shared" si="1"/>
        <v>20</v>
      </c>
      <c r="C30" s="232">
        <f>'F1'!E30</f>
        <v>4</v>
      </c>
      <c r="D30" s="232">
        <v>5.4545454545454541</v>
      </c>
      <c r="E30" s="232">
        <f t="shared" si="0"/>
        <v>21.818181818181817</v>
      </c>
      <c r="J30" s="207">
        <f>COUNTIF(J11:J28,"X")</f>
        <v>0</v>
      </c>
      <c r="P30" s="202"/>
    </row>
    <row r="31" spans="1:16" ht="15" customHeight="1">
      <c r="A31" s="201"/>
      <c r="B31" s="203">
        <f t="shared" si="1"/>
        <v>21</v>
      </c>
      <c r="C31" s="232">
        <f>'F1'!E31</f>
        <v>3</v>
      </c>
      <c r="D31" s="232">
        <v>3.6363636363636367</v>
      </c>
      <c r="E31" s="232">
        <f t="shared" si="0"/>
        <v>10.90909090909091</v>
      </c>
      <c r="G31" s="336" t="s">
        <v>215</v>
      </c>
      <c r="H31" s="337"/>
      <c r="I31" s="337"/>
      <c r="J31" s="338"/>
      <c r="N31" s="208"/>
      <c r="P31" s="202"/>
    </row>
    <row r="32" spans="1:16" ht="15" customHeight="1">
      <c r="A32" s="201"/>
      <c r="B32" s="203">
        <f t="shared" si="1"/>
        <v>22</v>
      </c>
      <c r="C32" s="247">
        <f>'F1'!E32</f>
        <v>4</v>
      </c>
      <c r="D32" s="247">
        <v>0</v>
      </c>
      <c r="E32" s="247">
        <f t="shared" si="0"/>
        <v>0</v>
      </c>
      <c r="G32" s="252" t="s">
        <v>211</v>
      </c>
      <c r="H32" s="252" t="s">
        <v>136</v>
      </c>
      <c r="I32" s="252" t="s">
        <v>212</v>
      </c>
      <c r="J32" s="252" t="s">
        <v>213</v>
      </c>
      <c r="P32" s="202"/>
    </row>
    <row r="33" spans="1:16" ht="15" customHeight="1">
      <c r="A33" s="201"/>
      <c r="B33" s="203">
        <f t="shared" si="1"/>
        <v>23</v>
      </c>
      <c r="C33" s="232">
        <f>'F1'!E33</f>
        <v>4</v>
      </c>
      <c r="D33" s="232">
        <v>1.8181818181818183</v>
      </c>
      <c r="E33" s="232">
        <f t="shared" si="0"/>
        <v>7.2727272727272734</v>
      </c>
      <c r="G33" s="209">
        <v>1</v>
      </c>
      <c r="H33" s="210" t="s">
        <v>108</v>
      </c>
      <c r="I33" s="204" t="str">
        <f>IF(C11&gt;=2,"V","")</f>
        <v>V</v>
      </c>
      <c r="J33" s="203" t="str">
        <f>IF(C11&lt;2,"X","")</f>
        <v/>
      </c>
      <c r="P33" s="202"/>
    </row>
    <row r="34" spans="1:16" ht="15" customHeight="1">
      <c r="A34" s="201"/>
      <c r="B34" s="203">
        <f t="shared" si="1"/>
        <v>24</v>
      </c>
      <c r="C34" s="232">
        <f>'F1'!E34</f>
        <v>1.1111111111111112</v>
      </c>
      <c r="D34" s="232">
        <v>1.8181818181818183</v>
      </c>
      <c r="E34" s="232">
        <f t="shared" si="0"/>
        <v>2.0202020202020203</v>
      </c>
      <c r="G34" s="209">
        <f>G33+1</f>
        <v>2</v>
      </c>
      <c r="H34" s="210" t="s">
        <v>109</v>
      </c>
      <c r="I34" s="204" t="str">
        <f>IF(C12&gt;=2,"V","")</f>
        <v>V</v>
      </c>
      <c r="J34" s="203" t="str">
        <f>IF(C12&lt;2,"X","")</f>
        <v/>
      </c>
      <c r="P34" s="202"/>
    </row>
    <row r="35" spans="1:16" ht="15" customHeight="1">
      <c r="A35" s="201"/>
      <c r="B35" s="203">
        <f t="shared" si="1"/>
        <v>25</v>
      </c>
      <c r="C35" s="232">
        <f>'F1'!E35</f>
        <v>2.8</v>
      </c>
      <c r="D35" s="232">
        <v>1.8181818181818183</v>
      </c>
      <c r="E35" s="232">
        <f t="shared" si="0"/>
        <v>5.0909090909090908</v>
      </c>
      <c r="G35" s="209">
        <f>G12+1</f>
        <v>5</v>
      </c>
      <c r="H35" s="210" t="s">
        <v>114</v>
      </c>
      <c r="I35" s="204" t="str">
        <f>IF(C15&gt;=2,"V","")</f>
        <v>V</v>
      </c>
      <c r="J35" s="203" t="str">
        <f>IF(C15&lt;2,"X","")</f>
        <v/>
      </c>
      <c r="P35" s="202"/>
    </row>
    <row r="36" spans="1:16" ht="15" customHeight="1">
      <c r="A36" s="201"/>
      <c r="B36" s="203">
        <f t="shared" si="1"/>
        <v>26</v>
      </c>
      <c r="C36" s="232">
        <f>'F1'!E36</f>
        <v>2.5</v>
      </c>
      <c r="D36" s="232">
        <v>3.3333333333333335</v>
      </c>
      <c r="E36" s="232">
        <f t="shared" si="0"/>
        <v>8.3333333333333339</v>
      </c>
      <c r="G36" s="209">
        <f>G35+1</f>
        <v>6</v>
      </c>
      <c r="H36" s="210" t="s">
        <v>117</v>
      </c>
      <c r="I36" s="204" t="str">
        <f>IF(C16&gt;=2,"V","")</f>
        <v>V</v>
      </c>
      <c r="J36" s="203" t="str">
        <f>IF(C16&lt;2,"X","")</f>
        <v/>
      </c>
      <c r="P36" s="202"/>
    </row>
    <row r="37" spans="1:16" ht="15" customHeight="1">
      <c r="A37" s="201"/>
      <c r="B37" s="203">
        <f t="shared" si="1"/>
        <v>27</v>
      </c>
      <c r="C37" s="232">
        <f>'F1'!E37</f>
        <v>2.5</v>
      </c>
      <c r="D37" s="232">
        <v>3.3333333333333335</v>
      </c>
      <c r="E37" s="232">
        <f t="shared" si="0"/>
        <v>8.3333333333333339</v>
      </c>
      <c r="G37" s="209">
        <f>G36+1</f>
        <v>7</v>
      </c>
      <c r="H37" s="210" t="s">
        <v>118</v>
      </c>
      <c r="I37" s="204" t="str">
        <f>IF(C17&gt;=2,"V","")</f>
        <v>V</v>
      </c>
      <c r="J37" s="203" t="str">
        <f>IF(C17&lt;2,"X","")</f>
        <v/>
      </c>
      <c r="P37" s="202"/>
    </row>
    <row r="38" spans="1:16" ht="15" customHeight="1">
      <c r="A38" s="201"/>
      <c r="B38" s="203">
        <f t="shared" si="1"/>
        <v>28</v>
      </c>
      <c r="C38" s="232">
        <f>'F1'!E38</f>
        <v>2.5</v>
      </c>
      <c r="D38" s="232">
        <v>3.3333333333333335</v>
      </c>
      <c r="E38" s="232">
        <f t="shared" si="0"/>
        <v>8.3333333333333339</v>
      </c>
      <c r="G38" s="209">
        <f>G37+1</f>
        <v>8</v>
      </c>
      <c r="H38" s="210" t="s">
        <v>119</v>
      </c>
      <c r="I38" s="204" t="str">
        <f>IF(C18&gt;=2,"V","")</f>
        <v>V</v>
      </c>
      <c r="J38" s="203" t="str">
        <f>IF(C18&lt;2,"X","")</f>
        <v/>
      </c>
      <c r="O38" s="208"/>
      <c r="P38" s="202"/>
    </row>
    <row r="39" spans="1:16" ht="15" customHeight="1">
      <c r="A39" s="201"/>
      <c r="B39" s="203">
        <f t="shared" si="1"/>
        <v>29</v>
      </c>
      <c r="C39" s="232">
        <f>'F1'!E39</f>
        <v>2</v>
      </c>
      <c r="D39" s="232">
        <v>3.3333333333333335</v>
      </c>
      <c r="E39" s="232">
        <f t="shared" si="0"/>
        <v>6.666666666666667</v>
      </c>
      <c r="G39" s="205">
        <v>12</v>
      </c>
      <c r="H39" s="206" t="s">
        <v>387</v>
      </c>
      <c r="I39" s="204" t="str">
        <f t="shared" ref="I39:I44" si="2">IF(C22&gt;=2,"V","")</f>
        <v>V</v>
      </c>
      <c r="J39" s="203" t="str">
        <f t="shared" ref="J39:J44" si="3">IF(C22&lt;2,"X","")</f>
        <v/>
      </c>
      <c r="P39" s="202"/>
    </row>
    <row r="40" spans="1:16" ht="15" customHeight="1">
      <c r="A40" s="201"/>
      <c r="B40" s="203">
        <f t="shared" si="1"/>
        <v>30</v>
      </c>
      <c r="C40" s="232">
        <f>'F1'!E40</f>
        <v>2</v>
      </c>
      <c r="D40" s="232">
        <v>3.3333333333333335</v>
      </c>
      <c r="E40" s="232">
        <f t="shared" si="0"/>
        <v>6.666666666666667</v>
      </c>
      <c r="G40" s="209">
        <f t="shared" ref="G40:G66" si="4">G39+1</f>
        <v>13</v>
      </c>
      <c r="H40" s="210" t="s">
        <v>128</v>
      </c>
      <c r="I40" s="204" t="str">
        <f t="shared" si="2"/>
        <v>V</v>
      </c>
      <c r="J40" s="203" t="str">
        <f t="shared" si="3"/>
        <v/>
      </c>
      <c r="P40" s="202"/>
    </row>
    <row r="41" spans="1:16" ht="15" customHeight="1">
      <c r="A41" s="201"/>
      <c r="B41" s="260">
        <f t="shared" si="1"/>
        <v>31</v>
      </c>
      <c r="C41" s="247">
        <f>'F1'!E41</f>
        <v>4</v>
      </c>
      <c r="D41" s="247">
        <v>0</v>
      </c>
      <c r="E41" s="247">
        <f t="shared" si="0"/>
        <v>0</v>
      </c>
      <c r="G41" s="209">
        <f t="shared" si="4"/>
        <v>14</v>
      </c>
      <c r="H41" s="210" t="s">
        <v>129</v>
      </c>
      <c r="I41" s="204" t="str">
        <f t="shared" si="2"/>
        <v>V</v>
      </c>
      <c r="J41" s="203" t="str">
        <f t="shared" si="3"/>
        <v/>
      </c>
      <c r="P41" s="202"/>
    </row>
    <row r="42" spans="1:16" ht="15" customHeight="1">
      <c r="A42" s="201"/>
      <c r="B42" s="260">
        <f t="shared" si="1"/>
        <v>32</v>
      </c>
      <c r="C42" s="232">
        <f>'F1'!E42</f>
        <v>3.1784999999999997</v>
      </c>
      <c r="D42" s="232">
        <v>7.7777777777777777</v>
      </c>
      <c r="E42" s="232">
        <f t="shared" si="0"/>
        <v>24.721666666666664</v>
      </c>
      <c r="G42" s="209">
        <f t="shared" si="4"/>
        <v>15</v>
      </c>
      <c r="H42" s="210" t="s">
        <v>120</v>
      </c>
      <c r="I42" s="204" t="str">
        <f t="shared" si="2"/>
        <v>V</v>
      </c>
      <c r="J42" s="203" t="str">
        <f t="shared" si="3"/>
        <v/>
      </c>
      <c r="P42" s="202"/>
    </row>
    <row r="43" spans="1:16" ht="15" customHeight="1">
      <c r="A43" s="201"/>
      <c r="B43" s="260">
        <f t="shared" si="1"/>
        <v>33</v>
      </c>
      <c r="C43" s="247">
        <f>'F1'!E43</f>
        <v>4</v>
      </c>
      <c r="D43" s="247">
        <v>0</v>
      </c>
      <c r="E43" s="247">
        <f t="shared" si="0"/>
        <v>0</v>
      </c>
      <c r="G43" s="209">
        <f t="shared" si="4"/>
        <v>16</v>
      </c>
      <c r="H43" s="210" t="s">
        <v>121</v>
      </c>
      <c r="I43" s="204" t="str">
        <f t="shared" si="2"/>
        <v>V</v>
      </c>
      <c r="J43" s="203" t="str">
        <f t="shared" si="3"/>
        <v/>
      </c>
      <c r="P43" s="202"/>
    </row>
    <row r="44" spans="1:16" ht="15" customHeight="1">
      <c r="A44" s="201"/>
      <c r="B44" s="203">
        <f t="shared" si="1"/>
        <v>34</v>
      </c>
      <c r="C44" s="247">
        <f>'F1'!E44</f>
        <v>4</v>
      </c>
      <c r="D44" s="247">
        <v>0</v>
      </c>
      <c r="E44" s="247">
        <f t="shared" si="0"/>
        <v>0</v>
      </c>
      <c r="G44" s="209">
        <f t="shared" si="4"/>
        <v>17</v>
      </c>
      <c r="H44" s="210" t="s">
        <v>110</v>
      </c>
      <c r="I44" s="204" t="str">
        <f t="shared" si="2"/>
        <v>V</v>
      </c>
      <c r="J44" s="203" t="str">
        <f t="shared" si="3"/>
        <v/>
      </c>
      <c r="P44" s="202"/>
    </row>
    <row r="45" spans="1:16" ht="15" customHeight="1">
      <c r="A45" s="201"/>
      <c r="B45" s="203">
        <f t="shared" si="1"/>
        <v>35</v>
      </c>
      <c r="C45" s="247">
        <f>'F1'!E45</f>
        <v>4</v>
      </c>
      <c r="D45" s="247">
        <v>0</v>
      </c>
      <c r="E45" s="247">
        <f t="shared" si="0"/>
        <v>0</v>
      </c>
      <c r="G45" s="205">
        <v>19</v>
      </c>
      <c r="H45" s="206" t="s">
        <v>206</v>
      </c>
      <c r="I45" s="204" t="str">
        <f>IF(C29&gt;=2,"V","")</f>
        <v>V</v>
      </c>
      <c r="J45" s="203" t="str">
        <f>IF(C29&lt;2,"X","")</f>
        <v/>
      </c>
      <c r="K45" s="211"/>
      <c r="P45" s="202"/>
    </row>
    <row r="46" spans="1:16" ht="15" customHeight="1">
      <c r="A46" s="201"/>
      <c r="B46" s="203">
        <f t="shared" si="1"/>
        <v>36</v>
      </c>
      <c r="C46" s="247">
        <f>'F1'!E46</f>
        <v>4</v>
      </c>
      <c r="D46" s="247">
        <v>0</v>
      </c>
      <c r="E46" s="247">
        <f t="shared" si="0"/>
        <v>0</v>
      </c>
      <c r="G46" s="209">
        <f>G45+1</f>
        <v>20</v>
      </c>
      <c r="H46" s="210" t="s">
        <v>203</v>
      </c>
      <c r="I46" s="204" t="str">
        <f>IF(C30&gt;=2,"V","")</f>
        <v>V</v>
      </c>
      <c r="J46" s="203" t="str">
        <f>IF(C30&lt;2,"X","")</f>
        <v/>
      </c>
      <c r="K46" s="211"/>
      <c r="P46" s="202"/>
    </row>
    <row r="47" spans="1:16" ht="15" customHeight="1">
      <c r="A47" s="201"/>
      <c r="B47" s="203">
        <f t="shared" si="1"/>
        <v>37</v>
      </c>
      <c r="C47" s="247">
        <f>'F1'!E47</f>
        <v>4</v>
      </c>
      <c r="D47" s="247">
        <v>0</v>
      </c>
      <c r="E47" s="247">
        <f t="shared" si="0"/>
        <v>0</v>
      </c>
      <c r="G47" s="209">
        <f>G46+1</f>
        <v>21</v>
      </c>
      <c r="H47" s="210" t="s">
        <v>122</v>
      </c>
      <c r="I47" s="204" t="str">
        <f>IF(C31&gt;=2,"V","")</f>
        <v>V</v>
      </c>
      <c r="J47" s="203" t="str">
        <f>IF(C31&lt;2,"X","")</f>
        <v/>
      </c>
      <c r="K47" s="211"/>
      <c r="P47" s="202"/>
    </row>
    <row r="48" spans="1:16" ht="15" customHeight="1">
      <c r="A48" s="201"/>
      <c r="B48" s="203">
        <f t="shared" si="1"/>
        <v>38</v>
      </c>
      <c r="C48" s="232">
        <f>'F1'!E48</f>
        <v>4</v>
      </c>
      <c r="D48" s="232">
        <v>3.8888888888888888</v>
      </c>
      <c r="E48" s="232">
        <f t="shared" si="0"/>
        <v>15.555555555555555</v>
      </c>
      <c r="G48" s="205">
        <v>23</v>
      </c>
      <c r="H48" s="206" t="s">
        <v>149</v>
      </c>
      <c r="I48" s="204" t="str">
        <f t="shared" ref="I48:I55" si="5">IF(C33&gt;=2,"V","")</f>
        <v>V</v>
      </c>
      <c r="J48" s="203" t="str">
        <f t="shared" ref="J48:J55" si="6">IF(C33&lt;2,"X","")</f>
        <v/>
      </c>
      <c r="K48" s="211"/>
      <c r="P48" s="202"/>
    </row>
    <row r="49" spans="1:16" ht="15" customHeight="1">
      <c r="A49" s="201"/>
      <c r="B49" s="203">
        <f t="shared" si="1"/>
        <v>39</v>
      </c>
      <c r="C49" s="247">
        <f>'F1'!E49</f>
        <v>4</v>
      </c>
      <c r="D49" s="247">
        <v>0</v>
      </c>
      <c r="E49" s="247">
        <f t="shared" si="0"/>
        <v>0</v>
      </c>
      <c r="G49" s="209">
        <f t="shared" si="4"/>
        <v>24</v>
      </c>
      <c r="H49" s="210" t="s">
        <v>150</v>
      </c>
      <c r="I49" s="204" t="str">
        <f t="shared" si="5"/>
        <v/>
      </c>
      <c r="J49" s="203" t="str">
        <f t="shared" si="6"/>
        <v>X</v>
      </c>
      <c r="P49" s="202"/>
    </row>
    <row r="50" spans="1:16" ht="15" customHeight="1">
      <c r="A50" s="201"/>
      <c r="B50" s="203">
        <f t="shared" si="1"/>
        <v>40</v>
      </c>
      <c r="C50" s="232">
        <f>'F1'!E50</f>
        <v>1</v>
      </c>
      <c r="D50" s="232">
        <v>1.9444444444444444</v>
      </c>
      <c r="E50" s="232">
        <f t="shared" si="0"/>
        <v>1.9444444444444444</v>
      </c>
      <c r="G50" s="209">
        <f t="shared" si="4"/>
        <v>25</v>
      </c>
      <c r="H50" s="210" t="s">
        <v>208</v>
      </c>
      <c r="I50" s="204" t="str">
        <f t="shared" si="5"/>
        <v>V</v>
      </c>
      <c r="J50" s="203" t="str">
        <f t="shared" si="6"/>
        <v/>
      </c>
      <c r="K50" s="211"/>
      <c r="P50" s="202"/>
    </row>
    <row r="51" spans="1:16" ht="15" customHeight="1">
      <c r="A51" s="201"/>
      <c r="B51" s="203">
        <f t="shared" si="1"/>
        <v>41</v>
      </c>
      <c r="C51" s="247">
        <f>'F1'!E51</f>
        <v>4</v>
      </c>
      <c r="D51" s="247">
        <v>0</v>
      </c>
      <c r="E51" s="247">
        <f t="shared" si="0"/>
        <v>0</v>
      </c>
      <c r="G51" s="209">
        <f t="shared" si="4"/>
        <v>26</v>
      </c>
      <c r="H51" s="210" t="s">
        <v>125</v>
      </c>
      <c r="I51" s="204" t="str">
        <f t="shared" si="5"/>
        <v>V</v>
      </c>
      <c r="J51" s="203" t="str">
        <f t="shared" si="6"/>
        <v/>
      </c>
      <c r="P51" s="202"/>
    </row>
    <row r="52" spans="1:16" ht="15" customHeight="1">
      <c r="A52" s="201"/>
      <c r="B52" s="203">
        <f t="shared" si="1"/>
        <v>42</v>
      </c>
      <c r="C52" s="232">
        <f>'F1'!E52</f>
        <v>2</v>
      </c>
      <c r="D52" s="232">
        <v>1.9444444444444444</v>
      </c>
      <c r="E52" s="232">
        <f t="shared" si="0"/>
        <v>3.8888888888888888</v>
      </c>
      <c r="G52" s="209">
        <f t="shared" si="4"/>
        <v>27</v>
      </c>
      <c r="H52" s="210" t="s">
        <v>123</v>
      </c>
      <c r="I52" s="204" t="str">
        <f t="shared" si="5"/>
        <v>V</v>
      </c>
      <c r="J52" s="203" t="str">
        <f t="shared" si="6"/>
        <v/>
      </c>
      <c r="K52" s="211"/>
      <c r="P52" s="202"/>
    </row>
    <row r="53" spans="1:16" ht="15" customHeight="1">
      <c r="A53" s="201"/>
      <c r="B53" s="203">
        <f t="shared" si="1"/>
        <v>43</v>
      </c>
      <c r="C53" s="232">
        <f>'F1'!E53</f>
        <v>3</v>
      </c>
      <c r="D53" s="232">
        <v>1.9444444444444444</v>
      </c>
      <c r="E53" s="232">
        <f t="shared" si="0"/>
        <v>5.833333333333333</v>
      </c>
      <c r="G53" s="209">
        <f t="shared" si="4"/>
        <v>28</v>
      </c>
      <c r="H53" s="210" t="s">
        <v>124</v>
      </c>
      <c r="I53" s="204" t="str">
        <f t="shared" si="5"/>
        <v>V</v>
      </c>
      <c r="J53" s="203" t="str">
        <f t="shared" si="6"/>
        <v/>
      </c>
      <c r="P53" s="202"/>
    </row>
    <row r="54" spans="1:16" ht="15" customHeight="1">
      <c r="A54" s="201"/>
      <c r="B54" s="203">
        <f t="shared" si="1"/>
        <v>44</v>
      </c>
      <c r="C54" s="232">
        <f>'F1'!E54</f>
        <v>2</v>
      </c>
      <c r="D54" s="232">
        <v>1.9444444444444444</v>
      </c>
      <c r="E54" s="232">
        <f t="shared" si="0"/>
        <v>3.8888888888888888</v>
      </c>
      <c r="G54" s="209">
        <f t="shared" si="4"/>
        <v>29</v>
      </c>
      <c r="H54" s="210" t="s">
        <v>126</v>
      </c>
      <c r="I54" s="204" t="str">
        <f t="shared" si="5"/>
        <v>V</v>
      </c>
      <c r="J54" s="203" t="str">
        <f t="shared" si="6"/>
        <v/>
      </c>
      <c r="P54" s="202"/>
    </row>
    <row r="55" spans="1:16" ht="15" customHeight="1">
      <c r="A55" s="201"/>
      <c r="B55" s="203">
        <f t="shared" si="1"/>
        <v>45</v>
      </c>
      <c r="C55" s="232">
        <f>'F1'!E55</f>
        <v>2</v>
      </c>
      <c r="D55" s="232">
        <v>1.9444444444444444</v>
      </c>
      <c r="E55" s="232">
        <f t="shared" si="0"/>
        <v>3.8888888888888888</v>
      </c>
      <c r="G55" s="209">
        <f t="shared" si="4"/>
        <v>30</v>
      </c>
      <c r="H55" s="210" t="s">
        <v>127</v>
      </c>
      <c r="I55" s="204" t="str">
        <f t="shared" si="5"/>
        <v>V</v>
      </c>
      <c r="J55" s="203" t="str">
        <f t="shared" si="6"/>
        <v/>
      </c>
      <c r="P55" s="202"/>
    </row>
    <row r="56" spans="1:16" ht="15" customHeight="1">
      <c r="A56" s="201"/>
      <c r="B56" s="203">
        <f t="shared" si="1"/>
        <v>46</v>
      </c>
      <c r="C56" s="232">
        <f>'F1'!E56</f>
        <v>2</v>
      </c>
      <c r="D56" s="232">
        <v>1.9444444444444444</v>
      </c>
      <c r="E56" s="232">
        <f t="shared" si="0"/>
        <v>3.8888888888888888</v>
      </c>
      <c r="G56" s="259">
        <v>32</v>
      </c>
      <c r="H56" s="210" t="s">
        <v>140</v>
      </c>
      <c r="I56" s="204" t="str">
        <f>IF(C42&gt;=2,"V","")</f>
        <v>V</v>
      </c>
      <c r="J56" s="203" t="str">
        <f>IF(C42&lt;2,"X","")</f>
        <v/>
      </c>
      <c r="L56" s="339" t="s">
        <v>217</v>
      </c>
      <c r="M56" s="340"/>
      <c r="N56" s="340"/>
      <c r="O56" s="341"/>
      <c r="P56" s="202"/>
    </row>
    <row r="57" spans="1:16" ht="15" customHeight="1">
      <c r="A57" s="201"/>
      <c r="B57" s="261">
        <f t="shared" si="1"/>
        <v>47</v>
      </c>
      <c r="C57" s="247">
        <f>'F1'!E57</f>
        <v>4</v>
      </c>
      <c r="D57" s="247">
        <v>0</v>
      </c>
      <c r="E57" s="247">
        <f t="shared" si="0"/>
        <v>0</v>
      </c>
      <c r="G57" s="209">
        <v>38</v>
      </c>
      <c r="H57" s="210" t="s">
        <v>186</v>
      </c>
      <c r="I57" s="204" t="str">
        <f>IF(C48&gt;=2,"V","")</f>
        <v>V</v>
      </c>
      <c r="J57" s="203" t="str">
        <f>IF(C48&lt;2,"X","")</f>
        <v/>
      </c>
      <c r="K57" s="211"/>
      <c r="L57" s="342"/>
      <c r="M57" s="343"/>
      <c r="N57" s="343"/>
      <c r="O57" s="344"/>
      <c r="P57" s="202"/>
    </row>
    <row r="58" spans="1:16" ht="15" customHeight="1">
      <c r="A58" s="201"/>
      <c r="B58" s="261">
        <f t="shared" si="1"/>
        <v>48</v>
      </c>
      <c r="C58" s="247">
        <f>'F1'!E58</f>
        <v>4</v>
      </c>
      <c r="D58" s="247">
        <v>0</v>
      </c>
      <c r="E58" s="247">
        <f t="shared" si="0"/>
        <v>0</v>
      </c>
      <c r="G58" s="209">
        <v>40</v>
      </c>
      <c r="H58" s="210" t="s">
        <v>143</v>
      </c>
      <c r="I58" s="204" t="str">
        <f>IF(C50&gt;=2,"V","")</f>
        <v/>
      </c>
      <c r="J58" s="203" t="str">
        <f>IF(C50&lt;2,"X","")</f>
        <v>X</v>
      </c>
      <c r="K58" s="211"/>
      <c r="L58" s="212"/>
      <c r="M58" s="213"/>
      <c r="N58" s="214"/>
      <c r="O58" s="215"/>
      <c r="P58" s="202"/>
    </row>
    <row r="59" spans="1:16" ht="15" customHeight="1">
      <c r="A59" s="201"/>
      <c r="B59" s="261">
        <f t="shared" si="1"/>
        <v>49</v>
      </c>
      <c r="C59" s="232">
        <f>'F1'!E59</f>
        <v>2</v>
      </c>
      <c r="D59" s="232">
        <v>2.2222222222222219</v>
      </c>
      <c r="E59" s="232">
        <f t="shared" si="0"/>
        <v>4.4444444444444438</v>
      </c>
      <c r="G59" s="209">
        <v>42</v>
      </c>
      <c r="H59" s="210" t="s">
        <v>145</v>
      </c>
      <c r="I59" s="204" t="str">
        <f>IF(C52&gt;=2,"V","")</f>
        <v>V</v>
      </c>
      <c r="J59" s="203" t="str">
        <f>IF(C52&lt;2,"X","")</f>
        <v/>
      </c>
      <c r="L59" s="216"/>
      <c r="O59" s="217"/>
      <c r="P59" s="202"/>
    </row>
    <row r="60" spans="1:16" ht="15" customHeight="1">
      <c r="A60" s="201"/>
      <c r="B60" s="261">
        <f t="shared" si="1"/>
        <v>50</v>
      </c>
      <c r="C60" s="247">
        <f>'F1'!E60</f>
        <v>4</v>
      </c>
      <c r="D60" s="247">
        <v>0</v>
      </c>
      <c r="E60" s="247">
        <f t="shared" si="0"/>
        <v>0</v>
      </c>
      <c r="G60" s="209">
        <f t="shared" si="4"/>
        <v>43</v>
      </c>
      <c r="H60" s="210" t="s">
        <v>146</v>
      </c>
      <c r="I60" s="204" t="str">
        <f>IF(C53&gt;=2,"V","")</f>
        <v>V</v>
      </c>
      <c r="J60" s="203" t="str">
        <f>IF(C53&lt;2,"X","")</f>
        <v/>
      </c>
      <c r="L60" s="216"/>
      <c r="O60" s="217"/>
      <c r="P60" s="202"/>
    </row>
    <row r="61" spans="1:16" ht="15" customHeight="1">
      <c r="A61" s="201"/>
      <c r="B61" s="261">
        <f t="shared" si="1"/>
        <v>51</v>
      </c>
      <c r="C61" s="232">
        <f>'F1'!E61</f>
        <v>4</v>
      </c>
      <c r="D61" s="232">
        <v>2.2222222222222219</v>
      </c>
      <c r="E61" s="232">
        <f t="shared" si="0"/>
        <v>8.8888888888888875</v>
      </c>
      <c r="G61" s="209">
        <f t="shared" si="4"/>
        <v>44</v>
      </c>
      <c r="H61" s="210" t="s">
        <v>131</v>
      </c>
      <c r="I61" s="204" t="str">
        <f>IF(C54&gt;=2,"V","")</f>
        <v>V</v>
      </c>
      <c r="J61" s="203" t="str">
        <f>IF(C54&lt;2,"X","")</f>
        <v/>
      </c>
      <c r="L61" s="216"/>
      <c r="O61" s="217"/>
      <c r="P61" s="202"/>
    </row>
    <row r="62" spans="1:16" ht="15" customHeight="1">
      <c r="A62" s="201"/>
      <c r="B62" s="261">
        <f t="shared" si="1"/>
        <v>52</v>
      </c>
      <c r="C62" s="232">
        <f>'F1'!E62</f>
        <v>2</v>
      </c>
      <c r="D62" s="232">
        <v>2.2222222222222219</v>
      </c>
      <c r="E62" s="232">
        <f t="shared" si="0"/>
        <v>4.4444444444444438</v>
      </c>
      <c r="G62" s="209">
        <f>G61+1</f>
        <v>45</v>
      </c>
      <c r="H62" s="210" t="s">
        <v>132</v>
      </c>
      <c r="I62" s="204" t="str">
        <f>IF(C55&gt;=2,"V","")</f>
        <v>V</v>
      </c>
      <c r="J62" s="203" t="str">
        <f>IF(C55&lt;2,"X","")</f>
        <v/>
      </c>
      <c r="L62" s="216"/>
      <c r="O62" s="217"/>
      <c r="P62" s="202"/>
    </row>
    <row r="63" spans="1:16" ht="15" customHeight="1">
      <c r="A63" s="201"/>
      <c r="B63" s="214"/>
      <c r="C63" s="214"/>
      <c r="D63" s="218"/>
      <c r="E63" s="214"/>
      <c r="G63" s="209">
        <f t="shared" si="4"/>
        <v>46</v>
      </c>
      <c r="H63" s="210" t="s">
        <v>130</v>
      </c>
      <c r="I63" s="204" t="str">
        <f>IF(C56&gt;=2,"V","")</f>
        <v>V</v>
      </c>
      <c r="J63" s="203" t="str">
        <f>IF(C56&lt;2,"X","")</f>
        <v/>
      </c>
      <c r="L63" s="216"/>
      <c r="O63" s="217"/>
      <c r="P63" s="202"/>
    </row>
    <row r="64" spans="1:16" ht="15" customHeight="1">
      <c r="A64" s="201"/>
      <c r="B64" s="203" t="s">
        <v>438</v>
      </c>
      <c r="D64" s="322" t="s">
        <v>30</v>
      </c>
      <c r="E64" s="323">
        <f>SUM(E11:E62)</f>
        <v>290.16611111111126</v>
      </c>
      <c r="G64" s="256">
        <v>49</v>
      </c>
      <c r="H64" s="210" t="s">
        <v>135</v>
      </c>
      <c r="I64" s="204" t="str">
        <f>IF(C59&gt;=2,"V","")</f>
        <v>V</v>
      </c>
      <c r="J64" s="203" t="str">
        <f>IF(C59&lt;2,"X","")</f>
        <v/>
      </c>
      <c r="L64" s="216"/>
      <c r="O64" s="217"/>
      <c r="P64" s="202"/>
    </row>
    <row r="65" spans="1:16" ht="15" customHeight="1">
      <c r="A65" s="201"/>
      <c r="B65" s="260" t="s">
        <v>439</v>
      </c>
      <c r="C65" s="219"/>
      <c r="D65" s="322"/>
      <c r="E65" s="323"/>
      <c r="G65" s="256">
        <v>51</v>
      </c>
      <c r="H65" s="210" t="s">
        <v>220</v>
      </c>
      <c r="I65" s="204" t="str">
        <f>IF(C61&gt;=2,"V","")</f>
        <v>V</v>
      </c>
      <c r="J65" s="203" t="str">
        <f>IF(C61&lt;2,"X","")</f>
        <v/>
      </c>
      <c r="L65" s="439" t="str">
        <f>'F1'!D6</f>
        <v>Prof.Dr. Ramdani Wahyu Suurie, M.Ag.,M.Si</v>
      </c>
      <c r="M65" s="440"/>
      <c r="N65" s="440"/>
      <c r="O65" s="441"/>
      <c r="P65" s="202"/>
    </row>
    <row r="66" spans="1:16" ht="15" customHeight="1">
      <c r="A66" s="201"/>
      <c r="B66" s="261" t="s">
        <v>440</v>
      </c>
      <c r="C66" s="219"/>
      <c r="D66" s="322"/>
      <c r="E66" s="323"/>
      <c r="G66" s="256">
        <f t="shared" si="4"/>
        <v>52</v>
      </c>
      <c r="H66" s="210" t="s">
        <v>221</v>
      </c>
      <c r="I66" s="204" t="str">
        <f>IF(C62&gt;=2,"V","")</f>
        <v>V</v>
      </c>
      <c r="J66" s="203" t="str">
        <f>IF(C62&lt;2,"X","")</f>
        <v/>
      </c>
      <c r="L66" s="442"/>
      <c r="M66" s="443"/>
      <c r="N66" s="443"/>
      <c r="O66" s="444"/>
      <c r="P66" s="202"/>
    </row>
    <row r="67" spans="1:16" ht="15" customHeight="1" thickBot="1">
      <c r="A67" s="220"/>
      <c r="B67" s="221"/>
      <c r="C67" s="221"/>
      <c r="D67" s="221"/>
      <c r="E67" s="221"/>
      <c r="F67" s="222"/>
      <c r="G67" s="222"/>
      <c r="H67" s="222"/>
      <c r="I67" s="222"/>
      <c r="J67" s="222"/>
      <c r="K67" s="222"/>
      <c r="L67" s="221"/>
      <c r="M67" s="221"/>
      <c r="N67" s="222"/>
      <c r="O67" s="221"/>
      <c r="P67" s="223"/>
    </row>
    <row r="68" spans="1:16" ht="15" customHeight="1" thickTop="1"/>
  </sheetData>
  <sheetProtection selectLockedCells="1" selectUnlockedCells="1"/>
  <mergeCells count="15">
    <mergeCell ref="E64:E66"/>
    <mergeCell ref="G9:J9"/>
    <mergeCell ref="L9:O9"/>
    <mergeCell ref="B9:B10"/>
    <mergeCell ref="C9:E9"/>
    <mergeCell ref="G31:J31"/>
    <mergeCell ref="L56:O57"/>
    <mergeCell ref="L65:O66"/>
    <mergeCell ref="L13:N15"/>
    <mergeCell ref="O13:O15"/>
    <mergeCell ref="L10:N12"/>
    <mergeCell ref="O10:O12"/>
    <mergeCell ref="L16:N19"/>
    <mergeCell ref="O16:O19"/>
    <mergeCell ref="D64:D66"/>
  </mergeCells>
  <phoneticPr fontId="5" type="noConversion"/>
  <conditionalFormatting sqref="O16:O19">
    <cfRule type="expression" dxfId="1" priority="1">
      <formula>"Tidak Terakreditasi Minimal"</formula>
    </cfRule>
  </conditionalFormatting>
  <pageMargins left="0.75" right="0.75" top="0.75" bottom="0.5" header="0.3" footer="0.3"/>
  <pageSetup paperSize="9" scale="50" orientation="landscape" horizontalDpi="2400" verticalDpi="2400" r:id="rId1"/>
  <headerFooter>
    <oddFooter>&amp;R&amp;P/&amp;N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75"/>
  <sheetViews>
    <sheetView zoomScale="70" zoomScaleNormal="70" zoomScalePageLayoutView="80" workbookViewId="0">
      <pane ySplit="7" topLeftCell="A8" activePane="bottomLeft" state="frozen"/>
      <selection pane="bottomLeft" activeCell="H6" sqref="H6"/>
    </sheetView>
  </sheetViews>
  <sheetFormatPr defaultColWidth="8.73046875" defaultRowHeight="15" customHeight="1"/>
  <cols>
    <col min="1" max="1" width="3.73046875" style="154" customWidth="1"/>
    <col min="2" max="2" width="12.73046875" style="25" customWidth="1"/>
    <col min="3" max="4" width="14.73046875" style="25" customWidth="1"/>
    <col min="5" max="5" width="18.1328125" style="25" bestFit="1" customWidth="1"/>
    <col min="6" max="6" width="4.73046875" style="154" customWidth="1"/>
    <col min="7" max="7" width="12.73046875" style="154" customWidth="1"/>
    <col min="8" max="8" width="100.73046875" style="154" customWidth="1"/>
    <col min="9" max="10" width="6.73046875" style="154" customWidth="1"/>
    <col min="11" max="11" width="4.73046875" style="154" customWidth="1"/>
    <col min="12" max="13" width="10.73046875" style="25" customWidth="1"/>
    <col min="14" max="14" width="10.73046875" style="154" customWidth="1"/>
    <col min="15" max="15" width="14.73046875" style="25" customWidth="1"/>
    <col min="16" max="16" width="3.73046875" style="154" customWidth="1"/>
    <col min="17" max="16384" width="8.73046875" style="154"/>
  </cols>
  <sheetData>
    <row r="1" spans="1:16" ht="15" customHeight="1">
      <c r="A1" s="191" t="s">
        <v>451</v>
      </c>
      <c r="C1" s="191"/>
      <c r="D1" s="191"/>
      <c r="E1" s="93"/>
      <c r="K1" s="155"/>
      <c r="L1" s="155"/>
      <c r="M1" s="155"/>
      <c r="N1" s="93"/>
      <c r="O1" s="93"/>
    </row>
    <row r="2" spans="1:16" ht="15" customHeight="1">
      <c r="A2" s="93"/>
      <c r="C2" s="93"/>
      <c r="D2" s="93"/>
      <c r="E2" s="21"/>
      <c r="K2" s="156"/>
      <c r="L2" s="156"/>
      <c r="M2" s="156"/>
      <c r="N2" s="21"/>
      <c r="O2" s="21"/>
    </row>
    <row r="3" spans="1:16" ht="15" customHeight="1">
      <c r="A3" s="192" t="s">
        <v>21</v>
      </c>
      <c r="C3" s="193"/>
      <c r="D3" s="194" t="str">
        <f>Menu!H6</f>
        <v>Yayasan Ibnu Atha’illah</v>
      </c>
      <c r="K3" s="196"/>
      <c r="M3" s="192"/>
      <c r="N3" s="192"/>
      <c r="O3" s="192"/>
    </row>
    <row r="4" spans="1:16" ht="15" customHeight="1">
      <c r="A4" s="192" t="s">
        <v>22</v>
      </c>
      <c r="C4" s="193"/>
      <c r="D4" s="192" t="str">
        <f>Menu!R16</f>
        <v>Prof. Dr. Ramdani Wahyu Sururie</v>
      </c>
      <c r="K4" s="196"/>
      <c r="M4" s="192"/>
      <c r="N4" s="192"/>
      <c r="O4" s="192"/>
    </row>
    <row r="5" spans="1:16" ht="15" customHeight="1">
      <c r="A5" s="192"/>
      <c r="C5" s="193"/>
      <c r="D5" s="192" t="str">
        <f>Menu!R18</f>
        <v>Prof. Dr. Fauzan, MA</v>
      </c>
      <c r="K5" s="196"/>
      <c r="M5" s="192"/>
      <c r="N5" s="192"/>
      <c r="O5" s="192"/>
    </row>
    <row r="6" spans="1:16" ht="15" customHeight="1">
      <c r="A6" s="192" t="s">
        <v>112</v>
      </c>
      <c r="C6" s="193"/>
      <c r="D6" s="192">
        <f>'F1'!D7</f>
        <v>0</v>
      </c>
      <c r="K6" s="196"/>
      <c r="M6" s="192"/>
      <c r="N6" s="32"/>
      <c r="O6" s="32"/>
    </row>
    <row r="7" spans="1:16" ht="15" customHeight="1">
      <c r="A7" s="192" t="s">
        <v>113</v>
      </c>
      <c r="C7" s="193"/>
      <c r="D7" s="228" t="str">
        <f>Menu!R24</f>
        <v>24 Mei 2026</v>
      </c>
      <c r="K7" s="196"/>
      <c r="M7" s="195"/>
      <c r="N7" s="32"/>
      <c r="O7" s="32"/>
    </row>
    <row r="8" spans="1:16" ht="15" customHeight="1" thickBot="1"/>
    <row r="9" spans="1:16" ht="15" customHeight="1" thickTop="1">
      <c r="A9" s="197"/>
      <c r="B9" s="198"/>
      <c r="C9" s="198"/>
      <c r="D9" s="198"/>
      <c r="E9" s="198"/>
      <c r="F9" s="199"/>
      <c r="G9" s="199"/>
      <c r="H9" s="199"/>
      <c r="I9" s="199"/>
      <c r="J9" s="199"/>
      <c r="K9" s="199"/>
      <c r="L9" s="198"/>
      <c r="M9" s="198"/>
      <c r="N9" s="199"/>
      <c r="O9" s="198"/>
      <c r="P9" s="200"/>
    </row>
    <row r="10" spans="1:16" ht="20.25" customHeight="1">
      <c r="A10" s="201"/>
      <c r="B10" s="346" t="s">
        <v>70</v>
      </c>
      <c r="C10" s="347" t="s">
        <v>453</v>
      </c>
      <c r="D10" s="347"/>
      <c r="E10" s="347"/>
      <c r="G10" s="336" t="s">
        <v>214</v>
      </c>
      <c r="H10" s="337"/>
      <c r="I10" s="337"/>
      <c r="J10" s="338"/>
      <c r="K10" s="25"/>
      <c r="L10" s="348" t="s">
        <v>452</v>
      </c>
      <c r="M10" s="348"/>
      <c r="N10" s="348"/>
      <c r="O10" s="348"/>
      <c r="P10" s="202"/>
    </row>
    <row r="11" spans="1:16" ht="15" customHeight="1">
      <c r="A11" s="201"/>
      <c r="B11" s="346"/>
      <c r="C11" s="190" t="s">
        <v>0</v>
      </c>
      <c r="D11" s="190" t="s">
        <v>9</v>
      </c>
      <c r="E11" s="190" t="s">
        <v>71</v>
      </c>
      <c r="G11" s="252" t="s">
        <v>211</v>
      </c>
      <c r="H11" s="252" t="s">
        <v>136</v>
      </c>
      <c r="I11" s="252" t="s">
        <v>212</v>
      </c>
      <c r="J11" s="252" t="s">
        <v>213</v>
      </c>
      <c r="K11" s="25"/>
      <c r="L11" s="334" t="s">
        <v>214</v>
      </c>
      <c r="M11" s="334"/>
      <c r="N11" s="334"/>
      <c r="O11" s="335" t="str">
        <f>IF(J31=0,"Terpenuhi","Belum Terpenuhi")</f>
        <v>Terpenuhi</v>
      </c>
      <c r="P11" s="202"/>
    </row>
    <row r="12" spans="1:16" ht="15" customHeight="1">
      <c r="A12" s="201"/>
      <c r="B12" s="203">
        <v>1</v>
      </c>
      <c r="C12" s="232">
        <v>3.5</v>
      </c>
      <c r="D12" s="232">
        <v>5</v>
      </c>
      <c r="E12" s="232">
        <f>C12*D12</f>
        <v>17.5</v>
      </c>
      <c r="G12" s="258">
        <v>3</v>
      </c>
      <c r="H12" s="206" t="s">
        <v>116</v>
      </c>
      <c r="I12" s="203" t="str">
        <f>IF(C14=4,"V","")</f>
        <v>V</v>
      </c>
      <c r="J12" s="203" t="str">
        <f>IF(C14=0,"X","")</f>
        <v/>
      </c>
      <c r="L12" s="334"/>
      <c r="M12" s="334"/>
      <c r="N12" s="334"/>
      <c r="O12" s="335"/>
      <c r="P12" s="202"/>
    </row>
    <row r="13" spans="1:16" ht="15" customHeight="1">
      <c r="A13" s="201"/>
      <c r="B13" s="203">
        <f>B12+1</f>
        <v>2</v>
      </c>
      <c r="C13" s="232">
        <v>3.5</v>
      </c>
      <c r="D13" s="232">
        <v>5</v>
      </c>
      <c r="E13" s="232">
        <f t="shared" ref="E13:E63" si="0">C13*D13</f>
        <v>17.5</v>
      </c>
      <c r="G13" s="258">
        <v>4</v>
      </c>
      <c r="H13" s="206" t="s">
        <v>115</v>
      </c>
      <c r="I13" s="203" t="str">
        <f>IF(C15=4,"V","")</f>
        <v>V</v>
      </c>
      <c r="J13" s="203" t="str">
        <f>IF(C15=0,"X","")</f>
        <v/>
      </c>
      <c r="L13" s="334"/>
      <c r="M13" s="334"/>
      <c r="N13" s="334"/>
      <c r="O13" s="335"/>
      <c r="P13" s="202"/>
    </row>
    <row r="14" spans="1:16" ht="15" customHeight="1">
      <c r="A14" s="201"/>
      <c r="B14" s="260">
        <f t="shared" ref="B14:B63" si="1">B13+1</f>
        <v>3</v>
      </c>
      <c r="C14" s="247">
        <f>'F1'!E13</f>
        <v>4</v>
      </c>
      <c r="D14" s="247">
        <v>0</v>
      </c>
      <c r="E14" s="247">
        <f t="shared" si="0"/>
        <v>0</v>
      </c>
      <c r="G14" s="205">
        <v>9</v>
      </c>
      <c r="H14" s="206" t="s">
        <v>210</v>
      </c>
      <c r="I14" s="203" t="str">
        <f>IF(C20=4,"V","")</f>
        <v>V</v>
      </c>
      <c r="J14" s="203" t="str">
        <f>IF(C20=0,"X","")</f>
        <v/>
      </c>
      <c r="L14" s="324" t="s">
        <v>215</v>
      </c>
      <c r="M14" s="325"/>
      <c r="N14" s="326"/>
      <c r="O14" s="333">
        <f>E71</f>
        <v>324.62962962962962</v>
      </c>
      <c r="P14" s="202"/>
    </row>
    <row r="15" spans="1:16" ht="15" customHeight="1">
      <c r="A15" s="201"/>
      <c r="B15" s="260">
        <f t="shared" si="1"/>
        <v>4</v>
      </c>
      <c r="C15" s="247">
        <f>'F1'!E14</f>
        <v>4</v>
      </c>
      <c r="D15" s="247">
        <v>0</v>
      </c>
      <c r="E15" s="247">
        <f t="shared" si="0"/>
        <v>0</v>
      </c>
      <c r="G15" s="205">
        <v>10</v>
      </c>
      <c r="H15" s="206" t="s">
        <v>137</v>
      </c>
      <c r="I15" s="203" t="str">
        <f>IF(C21=4,"V","")</f>
        <v>V</v>
      </c>
      <c r="J15" s="203" t="str">
        <f>IF(C21=0,"X","")</f>
        <v/>
      </c>
      <c r="L15" s="327"/>
      <c r="M15" s="328"/>
      <c r="N15" s="329"/>
      <c r="O15" s="333"/>
      <c r="P15" s="202"/>
    </row>
    <row r="16" spans="1:16" ht="15" customHeight="1">
      <c r="A16" s="201"/>
      <c r="B16" s="203">
        <f t="shared" si="1"/>
        <v>5</v>
      </c>
      <c r="C16" s="232">
        <v>3.4</v>
      </c>
      <c r="D16" s="232">
        <v>1.8518518518518516</v>
      </c>
      <c r="E16" s="232">
        <f t="shared" si="0"/>
        <v>6.2962962962962958</v>
      </c>
      <c r="G16" s="205">
        <v>11</v>
      </c>
      <c r="H16" s="206" t="s">
        <v>138</v>
      </c>
      <c r="I16" s="203" t="str">
        <f>IF(C22=4,"V","")</f>
        <v>V</v>
      </c>
      <c r="J16" s="203" t="str">
        <f>IF(C22=0,"X","")</f>
        <v/>
      </c>
      <c r="L16" s="330"/>
      <c r="M16" s="331"/>
      <c r="N16" s="332"/>
      <c r="O16" s="333"/>
      <c r="P16" s="202"/>
    </row>
    <row r="17" spans="1:16" ht="15" customHeight="1">
      <c r="A17" s="201"/>
      <c r="B17" s="203">
        <f t="shared" si="1"/>
        <v>6</v>
      </c>
      <c r="C17" s="232">
        <f>'F4'!F19</f>
        <v>3.5</v>
      </c>
      <c r="D17" s="232">
        <v>1.8518518518518516</v>
      </c>
      <c r="E17" s="232">
        <f t="shared" si="0"/>
        <v>6.481481481481481</v>
      </c>
      <c r="G17" s="205">
        <v>18</v>
      </c>
      <c r="H17" s="206" t="s">
        <v>205</v>
      </c>
      <c r="I17" s="203" t="str">
        <f>IF(C29=4,"V","")</f>
        <v>V</v>
      </c>
      <c r="J17" s="203" t="str">
        <f>IF(C29=0,"X","")</f>
        <v/>
      </c>
      <c r="L17" s="334" t="s">
        <v>216</v>
      </c>
      <c r="M17" s="334"/>
      <c r="N17" s="334"/>
      <c r="O17" s="335" t="str">
        <f>IF(AND(O11="Terpenuhi",O14&gt;=200),"Terakreditasi Minimum","Tidak Terakreditasi Minimum")</f>
        <v>Terakreditasi Minimum</v>
      </c>
      <c r="P17" s="202"/>
    </row>
    <row r="18" spans="1:16" ht="15" customHeight="1">
      <c r="A18" s="201"/>
      <c r="B18" s="203">
        <f t="shared" si="1"/>
        <v>7</v>
      </c>
      <c r="C18" s="232">
        <v>3.5</v>
      </c>
      <c r="D18" s="232">
        <v>3.7037037037037033</v>
      </c>
      <c r="E18" s="232">
        <f t="shared" si="0"/>
        <v>12.962962962962962</v>
      </c>
      <c r="G18" s="205">
        <v>22</v>
      </c>
      <c r="H18" s="206" t="s">
        <v>196</v>
      </c>
      <c r="I18" s="203" t="str">
        <f>IF(C33=4,"V","")</f>
        <v>V</v>
      </c>
      <c r="J18" s="203" t="str">
        <f>IF(C33=0,"X","")</f>
        <v/>
      </c>
      <c r="L18" s="334"/>
      <c r="M18" s="334"/>
      <c r="N18" s="334"/>
      <c r="O18" s="335"/>
      <c r="P18" s="202"/>
    </row>
    <row r="19" spans="1:16" ht="15" customHeight="1">
      <c r="A19" s="201"/>
      <c r="B19" s="203">
        <f t="shared" si="1"/>
        <v>8</v>
      </c>
      <c r="C19" s="232">
        <f>'F4'!F21</f>
        <v>3.5</v>
      </c>
      <c r="D19" s="232">
        <v>1.8518518518518516</v>
      </c>
      <c r="E19" s="232">
        <f t="shared" si="0"/>
        <v>6.481481481481481</v>
      </c>
      <c r="G19" s="258">
        <v>31</v>
      </c>
      <c r="H19" s="206" t="s">
        <v>139</v>
      </c>
      <c r="I19" s="203" t="str">
        <f>IF(C42=4,"V","")</f>
        <v>V</v>
      </c>
      <c r="J19" s="203" t="str">
        <f>IF(C42=0,"X","")</f>
        <v/>
      </c>
      <c r="L19" s="334"/>
      <c r="M19" s="334"/>
      <c r="N19" s="334"/>
      <c r="O19" s="335"/>
      <c r="P19" s="202"/>
    </row>
    <row r="20" spans="1:16" ht="15" customHeight="1">
      <c r="A20" s="201"/>
      <c r="B20" s="203">
        <f t="shared" si="1"/>
        <v>9</v>
      </c>
      <c r="C20" s="247">
        <f>'F1'!E19</f>
        <v>4</v>
      </c>
      <c r="D20" s="247">
        <v>0</v>
      </c>
      <c r="E20" s="247">
        <f t="shared" si="0"/>
        <v>0</v>
      </c>
      <c r="G20" s="258">
        <v>33</v>
      </c>
      <c r="H20" s="206" t="s">
        <v>141</v>
      </c>
      <c r="I20" s="203" t="str">
        <f>IF(C44=4,"V","")</f>
        <v>V</v>
      </c>
      <c r="J20" s="203" t="str">
        <f>IF(C44=0,"X","")</f>
        <v/>
      </c>
      <c r="L20" s="334"/>
      <c r="M20" s="334"/>
      <c r="N20" s="334"/>
      <c r="O20" s="335"/>
      <c r="P20" s="202"/>
    </row>
    <row r="21" spans="1:16" ht="15" customHeight="1">
      <c r="A21" s="201"/>
      <c r="B21" s="203">
        <f t="shared" si="1"/>
        <v>10</v>
      </c>
      <c r="C21" s="247">
        <f>'F1'!E20</f>
        <v>4</v>
      </c>
      <c r="D21" s="247">
        <v>0</v>
      </c>
      <c r="E21" s="247">
        <f t="shared" si="0"/>
        <v>0</v>
      </c>
      <c r="G21" s="205">
        <v>34</v>
      </c>
      <c r="H21" s="206" t="s">
        <v>111</v>
      </c>
      <c r="I21" s="203" t="str">
        <f>IF(C45=4,"V","")</f>
        <v>V</v>
      </c>
      <c r="J21" s="203" t="str">
        <f>IF(C45=0,"X","")</f>
        <v/>
      </c>
      <c r="L21" s="154"/>
      <c r="M21" s="154"/>
      <c r="O21" s="154"/>
      <c r="P21" s="202"/>
    </row>
    <row r="22" spans="1:16" ht="15" customHeight="1">
      <c r="A22" s="201"/>
      <c r="B22" s="203">
        <f t="shared" si="1"/>
        <v>11</v>
      </c>
      <c r="C22" s="247">
        <f>'F1'!E21</f>
        <v>4</v>
      </c>
      <c r="D22" s="247">
        <v>0</v>
      </c>
      <c r="E22" s="247">
        <f t="shared" si="0"/>
        <v>0</v>
      </c>
      <c r="G22" s="205">
        <v>35</v>
      </c>
      <c r="H22" s="206" t="s">
        <v>147</v>
      </c>
      <c r="I22" s="203" t="str">
        <f>IF(C46=4,"V","")</f>
        <v>V</v>
      </c>
      <c r="J22" s="203" t="str">
        <f>IF(C46=0,"X","")</f>
        <v/>
      </c>
      <c r="P22" s="202"/>
    </row>
    <row r="23" spans="1:16" ht="15" customHeight="1">
      <c r="A23" s="201"/>
      <c r="B23" s="203">
        <f t="shared" si="1"/>
        <v>12</v>
      </c>
      <c r="C23" s="232">
        <v>3.5</v>
      </c>
      <c r="D23" s="264">
        <v>1.8518518518518516</v>
      </c>
      <c r="E23" s="232">
        <f t="shared" si="0"/>
        <v>6.481481481481481</v>
      </c>
      <c r="G23" s="205">
        <v>36</v>
      </c>
      <c r="H23" s="206" t="s">
        <v>148</v>
      </c>
      <c r="I23" s="203" t="str">
        <f>IF(C47=4,"V","")</f>
        <v>V</v>
      </c>
      <c r="J23" s="203" t="str">
        <f>IF(C47=0,"X","")</f>
        <v/>
      </c>
      <c r="L23" s="154"/>
      <c r="M23" s="154"/>
      <c r="O23" s="154"/>
      <c r="P23" s="202"/>
    </row>
    <row r="24" spans="1:16" ht="15" customHeight="1">
      <c r="A24" s="201"/>
      <c r="B24" s="203">
        <f t="shared" si="1"/>
        <v>13</v>
      </c>
      <c r="C24" s="232">
        <f>'F4'!F26</f>
        <v>3</v>
      </c>
      <c r="D24" s="232">
        <v>3.7037037037037033</v>
      </c>
      <c r="E24" s="232">
        <f t="shared" si="0"/>
        <v>11.111111111111111</v>
      </c>
      <c r="G24" s="205">
        <v>37</v>
      </c>
      <c r="H24" s="206" t="s">
        <v>183</v>
      </c>
      <c r="I24" s="203" t="str">
        <f>IF(C48=4,"V","")</f>
        <v>V</v>
      </c>
      <c r="J24" s="203" t="str">
        <f>IF(C48=0,"X","")</f>
        <v/>
      </c>
      <c r="L24" s="154"/>
      <c r="M24" s="154"/>
      <c r="O24" s="154"/>
      <c r="P24" s="202"/>
    </row>
    <row r="25" spans="1:16" ht="15" customHeight="1">
      <c r="A25" s="201"/>
      <c r="B25" s="203">
        <f t="shared" si="1"/>
        <v>14</v>
      </c>
      <c r="C25" s="232">
        <f>'F4'!F27</f>
        <v>3.5</v>
      </c>
      <c r="D25" s="232">
        <v>1.8518518518518516</v>
      </c>
      <c r="E25" s="232">
        <f t="shared" si="0"/>
        <v>6.481481481481481</v>
      </c>
      <c r="G25" s="205">
        <v>39</v>
      </c>
      <c r="H25" s="206" t="s">
        <v>142</v>
      </c>
      <c r="I25" s="203" t="str">
        <f>IF(C50=4,"V","")</f>
        <v>V</v>
      </c>
      <c r="J25" s="203" t="str">
        <f>IF(C50=0,"X","")</f>
        <v/>
      </c>
      <c r="L25" s="154"/>
      <c r="M25" s="154"/>
      <c r="O25" s="154"/>
      <c r="P25" s="202"/>
    </row>
    <row r="26" spans="1:16" ht="15" customHeight="1">
      <c r="A26" s="201"/>
      <c r="B26" s="203">
        <f t="shared" si="1"/>
        <v>15</v>
      </c>
      <c r="C26" s="232">
        <f>'F4'!F28</f>
        <v>3.5</v>
      </c>
      <c r="D26" s="232">
        <v>3.3333333333333335</v>
      </c>
      <c r="E26" s="232">
        <f t="shared" si="0"/>
        <v>11.666666666666668</v>
      </c>
      <c r="G26" s="205">
        <v>41</v>
      </c>
      <c r="H26" s="206" t="s">
        <v>144</v>
      </c>
      <c r="I26" s="203" t="str">
        <f>IF(C52=4,"V","")</f>
        <v>V</v>
      </c>
      <c r="J26" s="203" t="str">
        <f>IF(C52=0,"X","")</f>
        <v/>
      </c>
      <c r="P26" s="202"/>
    </row>
    <row r="27" spans="1:16" ht="15" customHeight="1">
      <c r="A27" s="201"/>
      <c r="B27" s="203">
        <f t="shared" si="1"/>
        <v>16</v>
      </c>
      <c r="C27" s="232">
        <f>'F4'!F29</f>
        <v>3.5</v>
      </c>
      <c r="D27" s="232">
        <v>3.3333333333333335</v>
      </c>
      <c r="E27" s="232">
        <f t="shared" si="0"/>
        <v>11.666666666666668</v>
      </c>
      <c r="G27" s="257">
        <v>47</v>
      </c>
      <c r="H27" s="206" t="s">
        <v>134</v>
      </c>
      <c r="I27" s="203" t="str">
        <f>IF(C58=4,"V","")</f>
        <v>V</v>
      </c>
      <c r="J27" s="203" t="str">
        <f>IF(C58=0,"X","")</f>
        <v/>
      </c>
      <c r="P27" s="202"/>
    </row>
    <row r="28" spans="1:16" ht="15" customHeight="1">
      <c r="A28" s="201"/>
      <c r="B28" s="203">
        <f t="shared" si="1"/>
        <v>17</v>
      </c>
      <c r="C28" s="232">
        <f>'F4'!F30</f>
        <v>3.5</v>
      </c>
      <c r="D28" s="232">
        <v>1.8181818181818183</v>
      </c>
      <c r="E28" s="232">
        <f t="shared" si="0"/>
        <v>6.3636363636363642</v>
      </c>
      <c r="G28" s="257">
        <v>48</v>
      </c>
      <c r="H28" s="206" t="s">
        <v>133</v>
      </c>
      <c r="I28" s="203" t="str">
        <f>IF(C59=4,"V","")</f>
        <v>V</v>
      </c>
      <c r="J28" s="203" t="str">
        <f>IF(C59=0,"X","")</f>
        <v/>
      </c>
      <c r="P28" s="202"/>
    </row>
    <row r="29" spans="1:16" ht="15" customHeight="1">
      <c r="A29" s="201"/>
      <c r="B29" s="203">
        <f t="shared" si="1"/>
        <v>18</v>
      </c>
      <c r="C29" s="247">
        <f>'F1'!E28</f>
        <v>4</v>
      </c>
      <c r="D29" s="247">
        <v>0</v>
      </c>
      <c r="E29" s="247">
        <f t="shared" si="0"/>
        <v>0</v>
      </c>
      <c r="G29" s="257">
        <v>50</v>
      </c>
      <c r="H29" s="206" t="s">
        <v>347</v>
      </c>
      <c r="I29" s="203" t="str">
        <f>IF(C61=4,"V","")</f>
        <v>V</v>
      </c>
      <c r="J29" s="203" t="str">
        <f>IF(C61=0,"X","")</f>
        <v/>
      </c>
      <c r="P29" s="202"/>
    </row>
    <row r="30" spans="1:16" ht="15" customHeight="1">
      <c r="A30" s="201"/>
      <c r="B30" s="203">
        <f t="shared" si="1"/>
        <v>19</v>
      </c>
      <c r="C30" s="232">
        <f>'F4'!F32</f>
        <v>3.5</v>
      </c>
      <c r="D30" s="232">
        <v>3.6363636363636367</v>
      </c>
      <c r="E30" s="232">
        <f t="shared" si="0"/>
        <v>12.727272727272728</v>
      </c>
      <c r="G30" s="263"/>
      <c r="H30" s="262"/>
      <c r="I30" s="25"/>
      <c r="J30" s="217"/>
      <c r="P30" s="202"/>
    </row>
    <row r="31" spans="1:16" ht="15" customHeight="1">
      <c r="A31" s="201"/>
      <c r="B31" s="203">
        <f t="shared" si="1"/>
        <v>20</v>
      </c>
      <c r="C31" s="232">
        <f>'F4'!F33</f>
        <v>3.5</v>
      </c>
      <c r="D31" s="232">
        <v>5.4545454545454541</v>
      </c>
      <c r="E31" s="232">
        <f t="shared" si="0"/>
        <v>19.09090909090909</v>
      </c>
      <c r="J31" s="207">
        <f>COUNTIF(J12:J29,"X")</f>
        <v>0</v>
      </c>
      <c r="P31" s="202"/>
    </row>
    <row r="32" spans="1:16" ht="15" customHeight="1">
      <c r="A32" s="201"/>
      <c r="B32" s="203">
        <f t="shared" si="1"/>
        <v>21</v>
      </c>
      <c r="C32" s="232">
        <f>'F4'!F34</f>
        <v>3.5</v>
      </c>
      <c r="D32" s="232">
        <v>3.6363636363636367</v>
      </c>
      <c r="E32" s="232">
        <f t="shared" si="0"/>
        <v>12.727272727272728</v>
      </c>
      <c r="G32" s="336" t="s">
        <v>215</v>
      </c>
      <c r="H32" s="337"/>
      <c r="I32" s="337"/>
      <c r="J32" s="338"/>
      <c r="N32" s="208"/>
      <c r="P32" s="202"/>
    </row>
    <row r="33" spans="1:16" ht="15" customHeight="1">
      <c r="A33" s="201"/>
      <c r="B33" s="203">
        <f t="shared" si="1"/>
        <v>22</v>
      </c>
      <c r="C33" s="247">
        <f>'F1'!E32</f>
        <v>4</v>
      </c>
      <c r="D33" s="247">
        <v>0</v>
      </c>
      <c r="E33" s="247">
        <f t="shared" si="0"/>
        <v>0</v>
      </c>
      <c r="G33" s="252" t="s">
        <v>211</v>
      </c>
      <c r="H33" s="252" t="s">
        <v>136</v>
      </c>
      <c r="I33" s="252" t="s">
        <v>212</v>
      </c>
      <c r="J33" s="252" t="s">
        <v>213</v>
      </c>
      <c r="P33" s="202"/>
    </row>
    <row r="34" spans="1:16" ht="15" customHeight="1">
      <c r="A34" s="201"/>
      <c r="B34" s="203">
        <f t="shared" si="1"/>
        <v>23</v>
      </c>
      <c r="C34" s="232">
        <f>'F4'!F36</f>
        <v>3.5</v>
      </c>
      <c r="D34" s="232">
        <v>1.8181818181818183</v>
      </c>
      <c r="E34" s="232">
        <f t="shared" si="0"/>
        <v>6.3636363636363642</v>
      </c>
      <c r="G34" s="209">
        <v>1</v>
      </c>
      <c r="H34" s="210" t="s">
        <v>108</v>
      </c>
      <c r="I34" s="204" t="str">
        <f>IF(C12&gt;=2,"V","")</f>
        <v>V</v>
      </c>
      <c r="J34" s="203" t="str">
        <f>IF(C12&lt;2,"X","")</f>
        <v/>
      </c>
      <c r="P34" s="202"/>
    </row>
    <row r="35" spans="1:16" ht="15" customHeight="1">
      <c r="A35" s="201"/>
      <c r="B35" s="203">
        <f t="shared" si="1"/>
        <v>24</v>
      </c>
      <c r="C35" s="232">
        <f>'F4'!F37</f>
        <v>3.5</v>
      </c>
      <c r="D35" s="232">
        <v>1.8181818181818183</v>
      </c>
      <c r="E35" s="232">
        <f t="shared" si="0"/>
        <v>6.3636363636363642</v>
      </c>
      <c r="G35" s="209">
        <f>G34+1</f>
        <v>2</v>
      </c>
      <c r="H35" s="210" t="s">
        <v>109</v>
      </c>
      <c r="I35" s="204" t="str">
        <f>IF(C13&gt;=2,"V","")</f>
        <v>V</v>
      </c>
      <c r="J35" s="203" t="str">
        <f>IF(C13&lt;2,"X","")</f>
        <v/>
      </c>
      <c r="P35" s="202"/>
    </row>
    <row r="36" spans="1:16" ht="15" customHeight="1">
      <c r="A36" s="201"/>
      <c r="B36" s="203">
        <f t="shared" si="1"/>
        <v>25</v>
      </c>
      <c r="C36" s="232">
        <f>'F4'!F38</f>
        <v>3.5</v>
      </c>
      <c r="D36" s="232">
        <v>1.8181818181818183</v>
      </c>
      <c r="E36" s="232">
        <f t="shared" si="0"/>
        <v>6.3636363636363642</v>
      </c>
      <c r="G36" s="209">
        <f>G13+1</f>
        <v>5</v>
      </c>
      <c r="H36" s="210" t="s">
        <v>114</v>
      </c>
      <c r="I36" s="204" t="str">
        <f>IF(C16&gt;=2,"V","")</f>
        <v>V</v>
      </c>
      <c r="J36" s="203" t="str">
        <f>IF(C16&lt;2,"X","")</f>
        <v/>
      </c>
      <c r="P36" s="202"/>
    </row>
    <row r="37" spans="1:16" ht="15" customHeight="1">
      <c r="A37" s="201"/>
      <c r="B37" s="203">
        <f t="shared" si="1"/>
        <v>26</v>
      </c>
      <c r="C37" s="232">
        <f>'F4'!F39</f>
        <v>3</v>
      </c>
      <c r="D37" s="232">
        <v>3.3333333333333335</v>
      </c>
      <c r="E37" s="232">
        <f t="shared" si="0"/>
        <v>10</v>
      </c>
      <c r="G37" s="209">
        <f>G36+1</f>
        <v>6</v>
      </c>
      <c r="H37" s="210" t="s">
        <v>117</v>
      </c>
      <c r="I37" s="204" t="str">
        <f>IF(C17&gt;=2,"V","")</f>
        <v>V</v>
      </c>
      <c r="J37" s="203" t="str">
        <f>IF(C17&lt;2,"X","")</f>
        <v/>
      </c>
      <c r="P37" s="202"/>
    </row>
    <row r="38" spans="1:16" ht="15" customHeight="1">
      <c r="A38" s="201"/>
      <c r="B38" s="203">
        <f t="shared" si="1"/>
        <v>27</v>
      </c>
      <c r="C38" s="232">
        <f>'F4'!F40</f>
        <v>3</v>
      </c>
      <c r="D38" s="232">
        <v>3.3333333333333335</v>
      </c>
      <c r="E38" s="232">
        <f t="shared" si="0"/>
        <v>10</v>
      </c>
      <c r="G38" s="209">
        <f>G37+1</f>
        <v>7</v>
      </c>
      <c r="H38" s="210" t="s">
        <v>118</v>
      </c>
      <c r="I38" s="204" t="str">
        <f>IF(C18&gt;=2,"V","")</f>
        <v>V</v>
      </c>
      <c r="J38" s="203" t="str">
        <f>IF(C18&lt;2,"X","")</f>
        <v/>
      </c>
      <c r="P38" s="202"/>
    </row>
    <row r="39" spans="1:16" ht="15" customHeight="1">
      <c r="A39" s="201"/>
      <c r="B39" s="203">
        <f t="shared" si="1"/>
        <v>28</v>
      </c>
      <c r="C39" s="232">
        <f>'F4'!F41</f>
        <v>3</v>
      </c>
      <c r="D39" s="232">
        <v>3.3333333333333335</v>
      </c>
      <c r="E39" s="232">
        <f t="shared" si="0"/>
        <v>10</v>
      </c>
      <c r="G39" s="209">
        <f>G38+1</f>
        <v>8</v>
      </c>
      <c r="H39" s="210" t="s">
        <v>119</v>
      </c>
      <c r="I39" s="204" t="str">
        <f>IF(C19&gt;=2,"V","")</f>
        <v>V</v>
      </c>
      <c r="J39" s="203" t="str">
        <f>IF(C19&lt;2,"X","")</f>
        <v/>
      </c>
      <c r="O39" s="208"/>
      <c r="P39" s="202"/>
    </row>
    <row r="40" spans="1:16" ht="15" customHeight="1">
      <c r="A40" s="201"/>
      <c r="B40" s="203">
        <f t="shared" si="1"/>
        <v>29</v>
      </c>
      <c r="C40" s="232">
        <f>'F4'!F42</f>
        <v>3</v>
      </c>
      <c r="D40" s="232">
        <v>3.3333333333333335</v>
      </c>
      <c r="E40" s="232">
        <f t="shared" si="0"/>
        <v>10</v>
      </c>
      <c r="G40" s="205">
        <v>12</v>
      </c>
      <c r="H40" s="206" t="s">
        <v>387</v>
      </c>
      <c r="I40" s="204" t="str">
        <f t="shared" ref="I40:I45" si="2">IF(C23&gt;=2,"V","")</f>
        <v>V</v>
      </c>
      <c r="J40" s="203" t="str">
        <f t="shared" ref="J40:J45" si="3">IF(C23&lt;2,"X","")</f>
        <v/>
      </c>
      <c r="P40" s="202"/>
    </row>
    <row r="41" spans="1:16" ht="15" customHeight="1">
      <c r="A41" s="201"/>
      <c r="B41" s="203">
        <f t="shared" si="1"/>
        <v>30</v>
      </c>
      <c r="C41" s="232">
        <f>'F4'!F43</f>
        <v>3</v>
      </c>
      <c r="D41" s="232">
        <v>3.3333333333333335</v>
      </c>
      <c r="E41" s="232">
        <f t="shared" si="0"/>
        <v>10</v>
      </c>
      <c r="G41" s="209">
        <f t="shared" ref="G41:G73" si="4">G40+1</f>
        <v>13</v>
      </c>
      <c r="H41" s="210" t="s">
        <v>128</v>
      </c>
      <c r="I41" s="204" t="str">
        <f t="shared" si="2"/>
        <v>V</v>
      </c>
      <c r="J41" s="203" t="str">
        <f t="shared" si="3"/>
        <v/>
      </c>
      <c r="P41" s="202"/>
    </row>
    <row r="42" spans="1:16" ht="15" customHeight="1">
      <c r="A42" s="201"/>
      <c r="B42" s="260">
        <f t="shared" si="1"/>
        <v>31</v>
      </c>
      <c r="C42" s="247">
        <f>'F1'!E41</f>
        <v>4</v>
      </c>
      <c r="D42" s="247">
        <v>0</v>
      </c>
      <c r="E42" s="247">
        <f t="shared" si="0"/>
        <v>0</v>
      </c>
      <c r="G42" s="209">
        <f t="shared" si="4"/>
        <v>14</v>
      </c>
      <c r="H42" s="210" t="s">
        <v>129</v>
      </c>
      <c r="I42" s="204" t="str">
        <f t="shared" si="2"/>
        <v>V</v>
      </c>
      <c r="J42" s="203" t="str">
        <f t="shared" si="3"/>
        <v/>
      </c>
      <c r="P42" s="202"/>
    </row>
    <row r="43" spans="1:16" ht="15" customHeight="1">
      <c r="A43" s="201"/>
      <c r="B43" s="260">
        <f t="shared" si="1"/>
        <v>32</v>
      </c>
      <c r="C43" s="232">
        <f>'F4'!F45</f>
        <v>3</v>
      </c>
      <c r="D43" s="232">
        <v>7.7777777777777777</v>
      </c>
      <c r="E43" s="232">
        <f t="shared" si="0"/>
        <v>23.333333333333332</v>
      </c>
      <c r="G43" s="209">
        <f t="shared" si="4"/>
        <v>15</v>
      </c>
      <c r="H43" s="210" t="s">
        <v>120</v>
      </c>
      <c r="I43" s="204" t="str">
        <f t="shared" si="2"/>
        <v>V</v>
      </c>
      <c r="J43" s="203" t="str">
        <f t="shared" si="3"/>
        <v/>
      </c>
      <c r="P43" s="202"/>
    </row>
    <row r="44" spans="1:16" ht="15" customHeight="1">
      <c r="A44" s="201"/>
      <c r="B44" s="260">
        <f t="shared" si="1"/>
        <v>33</v>
      </c>
      <c r="C44" s="247">
        <f>'F1'!E43</f>
        <v>4</v>
      </c>
      <c r="D44" s="247">
        <v>0</v>
      </c>
      <c r="E44" s="247">
        <f t="shared" si="0"/>
        <v>0</v>
      </c>
      <c r="G44" s="209">
        <f t="shared" si="4"/>
        <v>16</v>
      </c>
      <c r="H44" s="210" t="s">
        <v>121</v>
      </c>
      <c r="I44" s="204" t="str">
        <f t="shared" si="2"/>
        <v>V</v>
      </c>
      <c r="J44" s="203" t="str">
        <f t="shared" si="3"/>
        <v/>
      </c>
      <c r="P44" s="202"/>
    </row>
    <row r="45" spans="1:16" ht="15" customHeight="1">
      <c r="A45" s="201"/>
      <c r="B45" s="203">
        <f t="shared" si="1"/>
        <v>34</v>
      </c>
      <c r="C45" s="247">
        <f>'F1'!E44</f>
        <v>4</v>
      </c>
      <c r="D45" s="247">
        <v>0</v>
      </c>
      <c r="E45" s="247">
        <f t="shared" si="0"/>
        <v>0</v>
      </c>
      <c r="G45" s="209">
        <f t="shared" si="4"/>
        <v>17</v>
      </c>
      <c r="H45" s="210" t="s">
        <v>110</v>
      </c>
      <c r="I45" s="204" t="str">
        <f t="shared" si="2"/>
        <v>V</v>
      </c>
      <c r="J45" s="203" t="str">
        <f t="shared" si="3"/>
        <v/>
      </c>
      <c r="P45" s="202"/>
    </row>
    <row r="46" spans="1:16" ht="15" customHeight="1">
      <c r="A46" s="201"/>
      <c r="B46" s="203">
        <f t="shared" si="1"/>
        <v>35</v>
      </c>
      <c r="C46" s="247">
        <f>'F1'!E45</f>
        <v>4</v>
      </c>
      <c r="D46" s="247">
        <v>0</v>
      </c>
      <c r="E46" s="247">
        <f t="shared" si="0"/>
        <v>0</v>
      </c>
      <c r="G46" s="205">
        <v>19</v>
      </c>
      <c r="H46" s="206" t="s">
        <v>206</v>
      </c>
      <c r="I46" s="204" t="str">
        <f>IF(C30&gt;=2,"V","")</f>
        <v>V</v>
      </c>
      <c r="J46" s="203" t="str">
        <f>IF(C30&lt;2,"X","")</f>
        <v/>
      </c>
      <c r="K46" s="211"/>
      <c r="P46" s="202"/>
    </row>
    <row r="47" spans="1:16" ht="15" customHeight="1">
      <c r="A47" s="201"/>
      <c r="B47" s="203">
        <f t="shared" si="1"/>
        <v>36</v>
      </c>
      <c r="C47" s="247">
        <f>'F1'!E46</f>
        <v>4</v>
      </c>
      <c r="D47" s="247">
        <v>0</v>
      </c>
      <c r="E47" s="247">
        <f t="shared" si="0"/>
        <v>0</v>
      </c>
      <c r="G47" s="209">
        <f>G46+1</f>
        <v>20</v>
      </c>
      <c r="H47" s="210" t="s">
        <v>203</v>
      </c>
      <c r="I47" s="204" t="str">
        <f>IF(C31&gt;=2,"V","")</f>
        <v>V</v>
      </c>
      <c r="J47" s="203" t="str">
        <f>IF(C31&lt;2,"X","")</f>
        <v/>
      </c>
      <c r="K47" s="211"/>
      <c r="P47" s="202"/>
    </row>
    <row r="48" spans="1:16" ht="15" customHeight="1">
      <c r="A48" s="201"/>
      <c r="B48" s="203">
        <f t="shared" si="1"/>
        <v>37</v>
      </c>
      <c r="C48" s="247">
        <f>'F1'!E47</f>
        <v>4</v>
      </c>
      <c r="D48" s="247">
        <v>0</v>
      </c>
      <c r="E48" s="247">
        <f t="shared" si="0"/>
        <v>0</v>
      </c>
      <c r="G48" s="209">
        <f>G47+1</f>
        <v>21</v>
      </c>
      <c r="H48" s="210" t="s">
        <v>122</v>
      </c>
      <c r="I48" s="204" t="str">
        <f>IF(C32&gt;=2,"V","")</f>
        <v>V</v>
      </c>
      <c r="J48" s="203" t="str">
        <f>IF(C32&lt;2,"X","")</f>
        <v/>
      </c>
      <c r="K48" s="211"/>
      <c r="P48" s="202"/>
    </row>
    <row r="49" spans="1:16" ht="15" customHeight="1">
      <c r="A49" s="201"/>
      <c r="B49" s="203">
        <f t="shared" si="1"/>
        <v>38</v>
      </c>
      <c r="C49" s="232">
        <f>'F4'!F51</f>
        <v>3</v>
      </c>
      <c r="D49" s="232">
        <v>3.8888888888888888</v>
      </c>
      <c r="E49" s="232">
        <f t="shared" si="0"/>
        <v>11.666666666666666</v>
      </c>
      <c r="G49" s="205">
        <v>23</v>
      </c>
      <c r="H49" s="206" t="s">
        <v>149</v>
      </c>
      <c r="I49" s="204" t="str">
        <f t="shared" ref="I49:I56" si="5">IF(C34&gt;=2,"V","")</f>
        <v>V</v>
      </c>
      <c r="J49" s="203" t="str">
        <f t="shared" ref="J49:J56" si="6">IF(C34&lt;2,"X","")</f>
        <v/>
      </c>
      <c r="K49" s="211"/>
      <c r="P49" s="202"/>
    </row>
    <row r="50" spans="1:16" ht="15" customHeight="1">
      <c r="A50" s="201"/>
      <c r="B50" s="203">
        <f t="shared" si="1"/>
        <v>39</v>
      </c>
      <c r="C50" s="247">
        <f>'F1'!E49</f>
        <v>4</v>
      </c>
      <c r="D50" s="247">
        <v>0</v>
      </c>
      <c r="E50" s="247">
        <f t="shared" si="0"/>
        <v>0</v>
      </c>
      <c r="G50" s="209">
        <f t="shared" si="4"/>
        <v>24</v>
      </c>
      <c r="H50" s="292" t="s">
        <v>150</v>
      </c>
      <c r="I50" s="204" t="str">
        <f t="shared" si="5"/>
        <v>V</v>
      </c>
      <c r="J50" s="203" t="str">
        <f t="shared" si="6"/>
        <v/>
      </c>
      <c r="P50" s="202"/>
    </row>
    <row r="51" spans="1:16" ht="15" customHeight="1">
      <c r="A51" s="201"/>
      <c r="B51" s="203">
        <f t="shared" si="1"/>
        <v>40</v>
      </c>
      <c r="C51" s="232">
        <f>'F4'!F53</f>
        <v>3</v>
      </c>
      <c r="D51" s="232">
        <v>1.9444444444444444</v>
      </c>
      <c r="E51" s="232">
        <f t="shared" si="0"/>
        <v>5.833333333333333</v>
      </c>
      <c r="G51" s="209">
        <f t="shared" si="4"/>
        <v>25</v>
      </c>
      <c r="H51" s="210" t="s">
        <v>208</v>
      </c>
      <c r="I51" s="204" t="str">
        <f t="shared" si="5"/>
        <v>V</v>
      </c>
      <c r="J51" s="203" t="str">
        <f t="shared" si="6"/>
        <v/>
      </c>
      <c r="K51" s="211"/>
      <c r="P51" s="202"/>
    </row>
    <row r="52" spans="1:16" ht="15" customHeight="1">
      <c r="A52" s="201"/>
      <c r="B52" s="203">
        <f t="shared" si="1"/>
        <v>41</v>
      </c>
      <c r="C52" s="247">
        <f>'F1'!E51</f>
        <v>4</v>
      </c>
      <c r="D52" s="247">
        <v>0</v>
      </c>
      <c r="E52" s="247">
        <f t="shared" si="0"/>
        <v>0</v>
      </c>
      <c r="G52" s="209">
        <f t="shared" si="4"/>
        <v>26</v>
      </c>
      <c r="H52" s="210" t="s">
        <v>125</v>
      </c>
      <c r="I52" s="204" t="str">
        <f t="shared" si="5"/>
        <v>V</v>
      </c>
      <c r="J52" s="203" t="str">
        <f t="shared" si="6"/>
        <v/>
      </c>
      <c r="P52" s="202"/>
    </row>
    <row r="53" spans="1:16" ht="15" customHeight="1">
      <c r="A53" s="201"/>
      <c r="B53" s="203">
        <f t="shared" si="1"/>
        <v>42</v>
      </c>
      <c r="C53" s="232">
        <f>'F4'!F55</f>
        <v>3</v>
      </c>
      <c r="D53" s="232">
        <v>1.9444444444444444</v>
      </c>
      <c r="E53" s="232">
        <f t="shared" si="0"/>
        <v>5.833333333333333</v>
      </c>
      <c r="G53" s="209">
        <f t="shared" si="4"/>
        <v>27</v>
      </c>
      <c r="H53" s="210" t="s">
        <v>123</v>
      </c>
      <c r="I53" s="204" t="str">
        <f t="shared" si="5"/>
        <v>V</v>
      </c>
      <c r="J53" s="203" t="str">
        <f t="shared" si="6"/>
        <v/>
      </c>
      <c r="K53" s="211"/>
      <c r="P53" s="202"/>
    </row>
    <row r="54" spans="1:16" ht="15" customHeight="1">
      <c r="A54" s="201"/>
      <c r="B54" s="203">
        <f t="shared" si="1"/>
        <v>43</v>
      </c>
      <c r="C54" s="232">
        <f>'F4'!F56</f>
        <v>3</v>
      </c>
      <c r="D54" s="232">
        <v>1.9444444444444444</v>
      </c>
      <c r="E54" s="232">
        <f t="shared" si="0"/>
        <v>5.833333333333333</v>
      </c>
      <c r="G54" s="209">
        <f t="shared" si="4"/>
        <v>28</v>
      </c>
      <c r="H54" s="210" t="s">
        <v>124</v>
      </c>
      <c r="I54" s="204" t="str">
        <f t="shared" si="5"/>
        <v>V</v>
      </c>
      <c r="J54" s="203" t="str">
        <f t="shared" si="6"/>
        <v/>
      </c>
      <c r="P54" s="202"/>
    </row>
    <row r="55" spans="1:16" ht="15" customHeight="1">
      <c r="A55" s="201"/>
      <c r="B55" s="203">
        <f t="shared" si="1"/>
        <v>44</v>
      </c>
      <c r="C55" s="232">
        <f>'F4'!F57</f>
        <v>3</v>
      </c>
      <c r="D55" s="232">
        <v>1.9444444444444444</v>
      </c>
      <c r="E55" s="232">
        <f t="shared" si="0"/>
        <v>5.833333333333333</v>
      </c>
      <c r="G55" s="209">
        <f t="shared" si="4"/>
        <v>29</v>
      </c>
      <c r="H55" s="210" t="s">
        <v>126</v>
      </c>
      <c r="I55" s="204" t="str">
        <f t="shared" si="5"/>
        <v>V</v>
      </c>
      <c r="J55" s="203" t="str">
        <f t="shared" si="6"/>
        <v/>
      </c>
      <c r="P55" s="202"/>
    </row>
    <row r="56" spans="1:16" ht="15" customHeight="1">
      <c r="A56" s="201"/>
      <c r="B56" s="203">
        <f t="shared" si="1"/>
        <v>45</v>
      </c>
      <c r="C56" s="232">
        <f>'F4'!F58</f>
        <v>3</v>
      </c>
      <c r="D56" s="232">
        <v>1.9444444444444444</v>
      </c>
      <c r="E56" s="232">
        <f t="shared" si="0"/>
        <v>5.833333333333333</v>
      </c>
      <c r="G56" s="209">
        <f t="shared" si="4"/>
        <v>30</v>
      </c>
      <c r="H56" s="210" t="s">
        <v>127</v>
      </c>
      <c r="I56" s="204" t="str">
        <f t="shared" si="5"/>
        <v>V</v>
      </c>
      <c r="J56" s="203" t="str">
        <f t="shared" si="6"/>
        <v/>
      </c>
      <c r="P56" s="202"/>
    </row>
    <row r="57" spans="1:16" ht="15" customHeight="1">
      <c r="A57" s="201"/>
      <c r="B57" s="203">
        <f t="shared" si="1"/>
        <v>46</v>
      </c>
      <c r="C57" s="232">
        <f>'F4'!F59</f>
        <v>3</v>
      </c>
      <c r="D57" s="232">
        <v>1.9444444444444444</v>
      </c>
      <c r="E57" s="232">
        <f t="shared" si="0"/>
        <v>5.833333333333333</v>
      </c>
      <c r="G57" s="259">
        <v>32</v>
      </c>
      <c r="H57" s="210" t="s">
        <v>140</v>
      </c>
      <c r="I57" s="204" t="str">
        <f>IF(C43&gt;=2,"V","")</f>
        <v>V</v>
      </c>
      <c r="J57" s="203" t="str">
        <f>IF(C43&lt;2,"X","")</f>
        <v/>
      </c>
      <c r="L57" s="339" t="s">
        <v>217</v>
      </c>
      <c r="M57" s="340"/>
      <c r="N57" s="340"/>
      <c r="O57" s="341"/>
      <c r="P57" s="202"/>
    </row>
    <row r="58" spans="1:16" ht="15" customHeight="1">
      <c r="A58" s="201"/>
      <c r="B58" s="261">
        <f t="shared" si="1"/>
        <v>47</v>
      </c>
      <c r="C58" s="247">
        <f>'F1'!E57</f>
        <v>4</v>
      </c>
      <c r="D58" s="247">
        <v>0</v>
      </c>
      <c r="E58" s="247">
        <f t="shared" si="0"/>
        <v>0</v>
      </c>
      <c r="G58" s="209">
        <v>38</v>
      </c>
      <c r="H58" s="210" t="s">
        <v>186</v>
      </c>
      <c r="I58" s="204" t="str">
        <f>IF(C49&gt;=2,"V","")</f>
        <v>V</v>
      </c>
      <c r="J58" s="203" t="str">
        <f>IF(C49&lt;2,"X","")</f>
        <v/>
      </c>
      <c r="K58" s="211"/>
      <c r="L58" s="342"/>
      <c r="M58" s="343"/>
      <c r="N58" s="343"/>
      <c r="O58" s="344"/>
      <c r="P58" s="202"/>
    </row>
    <row r="59" spans="1:16" ht="15" customHeight="1">
      <c r="A59" s="201"/>
      <c r="B59" s="261">
        <f t="shared" si="1"/>
        <v>48</v>
      </c>
      <c r="C59" s="247">
        <f>'F1'!E58</f>
        <v>4</v>
      </c>
      <c r="D59" s="247">
        <v>0</v>
      </c>
      <c r="E59" s="247">
        <f t="shared" si="0"/>
        <v>0</v>
      </c>
      <c r="G59" s="209">
        <v>40</v>
      </c>
      <c r="H59" s="210" t="s">
        <v>143</v>
      </c>
      <c r="I59" s="204" t="str">
        <f>IF(C51&gt;=2,"V","")</f>
        <v>V</v>
      </c>
      <c r="J59" s="203" t="str">
        <f>IF(C51&lt;2,"X","")</f>
        <v/>
      </c>
      <c r="K59" s="211"/>
      <c r="L59" s="212"/>
      <c r="M59" s="213"/>
      <c r="N59" s="214"/>
      <c r="O59" s="215"/>
      <c r="P59" s="202"/>
    </row>
    <row r="60" spans="1:16" ht="15" customHeight="1">
      <c r="A60" s="201"/>
      <c r="B60" s="261">
        <f t="shared" si="1"/>
        <v>49</v>
      </c>
      <c r="C60" s="232">
        <f>'F4'!F62</f>
        <v>3</v>
      </c>
      <c r="D60" s="232">
        <v>2.2222222222222219</v>
      </c>
      <c r="E60" s="232">
        <f t="shared" si="0"/>
        <v>6.6666666666666661</v>
      </c>
      <c r="G60" s="209">
        <v>42</v>
      </c>
      <c r="H60" s="210" t="s">
        <v>145</v>
      </c>
      <c r="I60" s="204" t="str">
        <f>IF(C53&gt;=2,"V","")</f>
        <v>V</v>
      </c>
      <c r="J60" s="203" t="str">
        <f>IF(C53&lt;2,"X","")</f>
        <v/>
      </c>
      <c r="L60" s="216"/>
      <c r="O60" s="217"/>
      <c r="P60" s="202"/>
    </row>
    <row r="61" spans="1:16" ht="15" customHeight="1">
      <c r="A61" s="201"/>
      <c r="B61" s="261">
        <f t="shared" si="1"/>
        <v>50</v>
      </c>
      <c r="C61" s="247">
        <f>'F1'!E60</f>
        <v>4</v>
      </c>
      <c r="D61" s="247">
        <v>0</v>
      </c>
      <c r="E61" s="247">
        <f t="shared" si="0"/>
        <v>0</v>
      </c>
      <c r="G61" s="209">
        <f t="shared" si="4"/>
        <v>43</v>
      </c>
      <c r="H61" s="210" t="s">
        <v>146</v>
      </c>
      <c r="I61" s="204" t="str">
        <f>IF(C54&gt;=2,"V","")</f>
        <v>V</v>
      </c>
      <c r="J61" s="203" t="str">
        <f>IF(C54&lt;2,"X","")</f>
        <v/>
      </c>
      <c r="L61" s="216"/>
      <c r="O61" s="217"/>
      <c r="P61" s="202"/>
    </row>
    <row r="62" spans="1:16" ht="15" customHeight="1">
      <c r="A62" s="201"/>
      <c r="B62" s="261">
        <f t="shared" si="1"/>
        <v>51</v>
      </c>
      <c r="C62" s="232">
        <f>'F4'!F64</f>
        <v>3</v>
      </c>
      <c r="D62" s="232">
        <v>2.2222222222222219</v>
      </c>
      <c r="E62" s="232">
        <f t="shared" si="0"/>
        <v>6.6666666666666661</v>
      </c>
      <c r="G62" s="209">
        <f t="shared" si="4"/>
        <v>44</v>
      </c>
      <c r="H62" s="210" t="s">
        <v>131</v>
      </c>
      <c r="I62" s="204" t="str">
        <f>IF(C55&gt;=2,"V","")</f>
        <v>V</v>
      </c>
      <c r="J62" s="203" t="str">
        <f>IF(C55&lt;2,"X","")</f>
        <v/>
      </c>
      <c r="L62" s="277"/>
      <c r="O62" s="217"/>
      <c r="P62" s="202"/>
    </row>
    <row r="63" spans="1:16" ht="15" customHeight="1">
      <c r="A63" s="201"/>
      <c r="B63" s="261">
        <f t="shared" si="1"/>
        <v>52</v>
      </c>
      <c r="C63" s="232">
        <f>'F4'!F65</f>
        <v>3</v>
      </c>
      <c r="D63" s="232">
        <v>2.2222222222222219</v>
      </c>
      <c r="E63" s="232">
        <f t="shared" si="0"/>
        <v>6.6666666666666661</v>
      </c>
      <c r="G63" s="209">
        <f>G62+1</f>
        <v>45</v>
      </c>
      <c r="H63" s="210" t="s">
        <v>132</v>
      </c>
      <c r="I63" s="204" t="str">
        <f>IF(C56&gt;=2,"V","")</f>
        <v>V</v>
      </c>
      <c r="J63" s="203" t="str">
        <f>IF(C56&lt;2,"X","")</f>
        <v/>
      </c>
      <c r="L63" s="345" t="s">
        <v>456</v>
      </c>
      <c r="M63" s="345"/>
      <c r="N63" s="345"/>
      <c r="O63" s="345"/>
      <c r="P63" s="202"/>
    </row>
    <row r="64" spans="1:16" ht="15" customHeight="1">
      <c r="A64" s="201"/>
      <c r="B64" s="278"/>
      <c r="C64" s="279"/>
      <c r="D64" s="279"/>
      <c r="E64" s="279"/>
      <c r="G64" s="209"/>
      <c r="H64" s="210"/>
      <c r="I64" s="204"/>
      <c r="J64" s="203"/>
      <c r="L64" s="216"/>
      <c r="O64" s="217"/>
      <c r="P64" s="202"/>
    </row>
    <row r="65" spans="1:16" ht="15" customHeight="1">
      <c r="A65" s="201"/>
      <c r="B65" s="278"/>
      <c r="C65" s="279"/>
      <c r="D65" s="279"/>
      <c r="E65" s="279"/>
      <c r="G65" s="209"/>
      <c r="H65" s="210"/>
      <c r="I65" s="204"/>
      <c r="J65" s="203"/>
      <c r="L65" s="216"/>
      <c r="O65" s="217"/>
      <c r="P65" s="202"/>
    </row>
    <row r="66" spans="1:16" ht="15" customHeight="1">
      <c r="A66" s="201"/>
      <c r="B66" s="278"/>
      <c r="C66" s="279"/>
      <c r="D66" s="279"/>
      <c r="E66" s="279"/>
      <c r="G66" s="209"/>
      <c r="H66" s="210"/>
      <c r="I66" s="204"/>
      <c r="J66" s="203"/>
      <c r="L66" s="216"/>
      <c r="O66" s="217"/>
      <c r="P66" s="202"/>
    </row>
    <row r="67" spans="1:16" ht="15" customHeight="1">
      <c r="A67" s="201"/>
      <c r="B67" s="278"/>
      <c r="C67" s="279"/>
      <c r="D67" s="279"/>
      <c r="E67" s="279"/>
      <c r="G67" s="209"/>
      <c r="H67" s="210"/>
      <c r="I67" s="204"/>
      <c r="J67" s="203"/>
      <c r="L67" s="216"/>
      <c r="O67" s="217"/>
      <c r="P67" s="202"/>
    </row>
    <row r="68" spans="1:16" ht="15" customHeight="1">
      <c r="A68" s="201"/>
      <c r="B68" s="278"/>
      <c r="C68" s="279"/>
      <c r="D68" s="279"/>
      <c r="E68" s="279"/>
      <c r="G68" s="209"/>
      <c r="H68" s="210"/>
      <c r="I68" s="204"/>
      <c r="J68" s="203"/>
      <c r="L68" s="216"/>
      <c r="O68" s="217"/>
      <c r="P68" s="202"/>
    </row>
    <row r="69" spans="1:16" ht="15" customHeight="1">
      <c r="A69" s="201"/>
      <c r="B69" s="278"/>
      <c r="C69" s="279"/>
      <c r="D69" s="279"/>
      <c r="E69" s="279"/>
      <c r="G69" s="209"/>
      <c r="H69" s="210"/>
      <c r="I69" s="204"/>
      <c r="J69" s="203"/>
      <c r="L69" s="345" t="s">
        <v>457</v>
      </c>
      <c r="M69" s="345"/>
      <c r="N69" s="345"/>
      <c r="O69" s="345"/>
      <c r="P69" s="202"/>
    </row>
    <row r="70" spans="1:16" ht="15" customHeight="1">
      <c r="A70" s="201"/>
      <c r="B70" s="214"/>
      <c r="C70" s="214"/>
      <c r="D70" s="218"/>
      <c r="E70" s="214"/>
      <c r="G70" s="209">
        <f>G63+1</f>
        <v>46</v>
      </c>
      <c r="H70" s="210" t="s">
        <v>130</v>
      </c>
      <c r="I70" s="204" t="str">
        <f>IF(C57&gt;=2,"V","")</f>
        <v>V</v>
      </c>
      <c r="J70" s="203" t="str">
        <f>IF(C57&lt;2,"X","")</f>
        <v/>
      </c>
      <c r="L70" s="216"/>
      <c r="O70" s="217"/>
      <c r="P70" s="202"/>
    </row>
    <row r="71" spans="1:16" ht="15" customHeight="1">
      <c r="A71" s="201"/>
      <c r="B71" s="203" t="s">
        <v>438</v>
      </c>
      <c r="D71" s="322" t="s">
        <v>30</v>
      </c>
      <c r="E71" s="323">
        <f>SUM(E12:E63)</f>
        <v>324.62962962962962</v>
      </c>
      <c r="G71" s="256">
        <v>49</v>
      </c>
      <c r="H71" s="210" t="s">
        <v>135</v>
      </c>
      <c r="I71" s="204" t="str">
        <f>IF(C60&gt;=2,"V","")</f>
        <v>V</v>
      </c>
      <c r="J71" s="203" t="str">
        <f>IF(C60&lt;2,"X","")</f>
        <v/>
      </c>
      <c r="L71" s="216"/>
      <c r="N71" s="25"/>
      <c r="O71" s="217"/>
      <c r="P71" s="202"/>
    </row>
    <row r="72" spans="1:16" ht="15" customHeight="1">
      <c r="A72" s="201"/>
      <c r="B72" s="260" t="s">
        <v>439</v>
      </c>
      <c r="C72" s="219"/>
      <c r="D72" s="322"/>
      <c r="E72" s="323"/>
      <c r="G72" s="256">
        <v>51</v>
      </c>
      <c r="H72" s="210" t="s">
        <v>220</v>
      </c>
      <c r="I72" s="204" t="str">
        <f>IF(C62&gt;=2,"V","")</f>
        <v>V</v>
      </c>
      <c r="J72" s="203" t="str">
        <f>IF(C62&lt;2,"X","")</f>
        <v/>
      </c>
      <c r="L72" s="274"/>
      <c r="M72" s="275"/>
      <c r="N72" s="275"/>
      <c r="O72" s="276"/>
      <c r="P72" s="202"/>
    </row>
    <row r="73" spans="1:16" ht="15" customHeight="1">
      <c r="A73" s="201"/>
      <c r="B73" s="261" t="s">
        <v>440</v>
      </c>
      <c r="C73" s="219"/>
      <c r="D73" s="322"/>
      <c r="E73" s="323"/>
      <c r="G73" s="256">
        <f t="shared" si="4"/>
        <v>52</v>
      </c>
      <c r="H73" s="210" t="s">
        <v>221</v>
      </c>
      <c r="I73" s="204" t="str">
        <f>IF(C63&gt;=2,"V","")</f>
        <v>V</v>
      </c>
      <c r="J73" s="203" t="str">
        <f>IF(C63&lt;2,"X","")</f>
        <v/>
      </c>
      <c r="L73" s="154"/>
      <c r="M73" s="154"/>
      <c r="O73" s="154"/>
      <c r="P73" s="202"/>
    </row>
    <row r="74" spans="1:16" ht="15" customHeight="1" thickBot="1">
      <c r="A74" s="220"/>
      <c r="B74" s="221"/>
      <c r="C74" s="221"/>
      <c r="D74" s="221"/>
      <c r="E74" s="221"/>
      <c r="F74" s="222"/>
      <c r="G74" s="222"/>
      <c r="H74" s="222"/>
      <c r="I74" s="222"/>
      <c r="J74" s="222"/>
      <c r="K74" s="222"/>
      <c r="L74" s="221"/>
      <c r="M74" s="221"/>
      <c r="N74" s="222"/>
      <c r="O74" s="221"/>
      <c r="P74" s="223"/>
    </row>
    <row r="75" spans="1:16" ht="15" customHeight="1" thickTop="1"/>
  </sheetData>
  <sheetProtection selectLockedCells="1" selectUnlockedCells="1"/>
  <mergeCells count="16">
    <mergeCell ref="B10:B11"/>
    <mergeCell ref="C10:E10"/>
    <mergeCell ref="G10:J10"/>
    <mergeCell ref="L10:O10"/>
    <mergeCell ref="L11:N13"/>
    <mergeCell ref="O11:O13"/>
    <mergeCell ref="D71:D73"/>
    <mergeCell ref="E71:E73"/>
    <mergeCell ref="L14:N16"/>
    <mergeCell ref="O14:O16"/>
    <mergeCell ref="L17:N20"/>
    <mergeCell ref="O17:O20"/>
    <mergeCell ref="G32:J32"/>
    <mergeCell ref="L57:O58"/>
    <mergeCell ref="L63:O63"/>
    <mergeCell ref="L69:O69"/>
  </mergeCells>
  <conditionalFormatting sqref="O17:O20">
    <cfRule type="expression" dxfId="0" priority="1">
      <formula>"Tidak Terakreditasi Minimal"</formula>
    </cfRule>
  </conditionalFormatting>
  <pageMargins left="0.75" right="0.75" top="0.75" bottom="0.5" header="0.3" footer="0.3"/>
  <pageSetup paperSize="9" scale="50" orientation="landscape" horizontalDpi="2400" verticalDpi="2400" r:id="rId1"/>
  <headerFooter>
    <oddFooter>&amp;R&amp;P/&amp;N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Menu</vt:lpstr>
      <vt:lpstr>hitung_F1</vt:lpstr>
      <vt:lpstr>F1</vt:lpstr>
      <vt:lpstr>F3</vt:lpstr>
      <vt:lpstr>F4</vt:lpstr>
      <vt:lpstr>F6</vt:lpstr>
      <vt:lpstr>Nilai AK</vt:lpstr>
      <vt:lpstr>Nilai AL</vt:lpstr>
      <vt:lpstr>'F1'!Print_Area</vt:lpstr>
      <vt:lpstr>'F4'!Print_Area</vt:lpstr>
      <vt:lpstr>'F1'!Print_Titles</vt:lpstr>
      <vt:lpstr>'F3'!Print_Titles</vt:lpstr>
      <vt:lpstr>'F4'!Print_Titles</vt:lpstr>
    </vt:vector>
  </TitlesOfParts>
  <Company>NTU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Radon Dhelika</dc:creator>
  <cp:lastModifiedBy>ramdani wahyu sururie</cp:lastModifiedBy>
  <cp:lastPrinted>2026-02-05T13:26:38Z</cp:lastPrinted>
  <dcterms:created xsi:type="dcterms:W3CDTF">2009-07-06T01:37:37Z</dcterms:created>
  <dcterms:modified xsi:type="dcterms:W3CDTF">2026-05-30T13:28:15Z</dcterms:modified>
</cp:coreProperties>
</file>